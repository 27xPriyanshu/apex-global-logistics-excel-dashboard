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priya\Downloads\"/>
    </mc:Choice>
  </mc:AlternateContent>
  <xr:revisionPtr revIDLastSave="0" documentId="8_{79CE5CE4-1677-43C0-BA29-3C9D582D828E}" xr6:coauthVersionLast="47" xr6:coauthVersionMax="47" xr10:uidLastSave="{00000000-0000-0000-0000-000000000000}"/>
  <bookViews>
    <workbookView xWindow="-108" yWindow="-108" windowWidth="23256" windowHeight="13896" xr2:uid="{6A530EA4-CBD9-45E0-831F-C19BE4B00478}"/>
  </bookViews>
  <sheets>
    <sheet name="Dashboard" sheetId="4" r:id="rId1"/>
    <sheet name="Raw_orders" sheetId="1" r:id="rId2"/>
    <sheet name="Product_Master" sheetId="2" r:id="rId3"/>
    <sheet name="Customer_database" sheetId="3" r:id="rId4"/>
  </sheets>
  <definedNames>
    <definedName name="NativeTimeline_Date">#N/A</definedName>
    <definedName name="Slicer_Category">#N/A</definedName>
    <definedName name="Slicer_Membership_Tier">#N/A</definedName>
    <definedName name="Slicer_Region">#N/A</definedName>
  </definedNames>
  <calcPr calcId="191029"/>
  <pivotCaches>
    <pivotCache cacheId="2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6" i="1" l="1"/>
  <c r="R15" i="1"/>
  <c r="R14" i="1"/>
  <c r="R13" i="1"/>
  <c r="R12" i="1"/>
  <c r="R11" i="1"/>
  <c r="R10" i="1"/>
  <c r="R9" i="1"/>
  <c r="R8" i="1"/>
  <c r="R7" i="1"/>
  <c r="R6" i="1"/>
  <c r="R5" i="1"/>
  <c r="R4" i="1"/>
  <c r="R3" i="1"/>
  <c r="R2" i="1"/>
  <c r="S3" i="1"/>
  <c r="S4" i="1"/>
  <c r="S5" i="1"/>
  <c r="S6" i="1"/>
  <c r="S7" i="1"/>
  <c r="S8" i="1"/>
  <c r="S9" i="1"/>
  <c r="S10" i="1"/>
  <c r="S11" i="1"/>
  <c r="S12" i="1"/>
  <c r="S13" i="1"/>
  <c r="S14" i="1"/>
  <c r="S15" i="1"/>
  <c r="S16" i="1"/>
  <c r="Q3" i="1"/>
  <c r="Q4" i="1"/>
  <c r="Q5" i="1"/>
  <c r="Q6" i="1"/>
  <c r="Q7" i="1"/>
  <c r="Q8" i="1"/>
  <c r="Q9" i="1"/>
  <c r="Q10" i="1"/>
  <c r="Q11" i="1"/>
  <c r="Q12" i="1"/>
  <c r="Q13" i="1"/>
  <c r="Q14" i="1"/>
  <c r="Q15" i="1"/>
  <c r="Q16" i="1"/>
  <c r="N3" i="1"/>
  <c r="N4" i="1"/>
  <c r="N5" i="1"/>
  <c r="N6" i="1"/>
  <c r="N7" i="1"/>
  <c r="N8" i="1"/>
  <c r="N9" i="1"/>
  <c r="N10" i="1"/>
  <c r="N11" i="1"/>
  <c r="N12" i="1"/>
  <c r="N13" i="1"/>
  <c r="N14" i="1"/>
  <c r="N15" i="1"/>
  <c r="N16" i="1"/>
  <c r="M3" i="1"/>
  <c r="M4" i="1"/>
  <c r="M5" i="1"/>
  <c r="M6" i="1"/>
  <c r="M7" i="1"/>
  <c r="M8" i="1"/>
  <c r="M9" i="1"/>
  <c r="M10" i="1"/>
  <c r="M11" i="1"/>
  <c r="M12" i="1"/>
  <c r="M13" i="1"/>
  <c r="M14" i="1"/>
  <c r="M15" i="1"/>
  <c r="M16" i="1"/>
  <c r="L3" i="1"/>
  <c r="L4" i="1"/>
  <c r="L5" i="1"/>
  <c r="L6" i="1"/>
  <c r="L7" i="1"/>
  <c r="L8" i="1"/>
  <c r="L9" i="1"/>
  <c r="L10" i="1"/>
  <c r="L11" i="1"/>
  <c r="L12" i="1"/>
  <c r="L13" i="1"/>
  <c r="L14" i="1"/>
  <c r="L15" i="1"/>
  <c r="L16" i="1"/>
  <c r="K3" i="1"/>
  <c r="K4" i="1"/>
  <c r="K5" i="1"/>
  <c r="K6" i="1"/>
  <c r="K7" i="1"/>
  <c r="K8" i="1"/>
  <c r="K9" i="1"/>
  <c r="K10" i="1"/>
  <c r="K11" i="1"/>
  <c r="K12" i="1"/>
  <c r="K13" i="1"/>
  <c r="K14" i="1"/>
  <c r="K15" i="1"/>
  <c r="K16" i="1"/>
  <c r="J3" i="1"/>
  <c r="J4" i="1"/>
  <c r="J5" i="1"/>
  <c r="J6" i="1"/>
  <c r="J7" i="1"/>
  <c r="J8" i="1"/>
  <c r="J9" i="1"/>
  <c r="J10" i="1"/>
  <c r="J11" i="1"/>
  <c r="J12" i="1"/>
  <c r="J13" i="1"/>
  <c r="J14" i="1"/>
  <c r="J15" i="1"/>
  <c r="J16" i="1"/>
  <c r="I3" i="1"/>
  <c r="I4" i="1"/>
  <c r="I5" i="1"/>
  <c r="I6" i="1"/>
  <c r="I7" i="1"/>
  <c r="I8" i="1"/>
  <c r="I9" i="1"/>
  <c r="I10" i="1"/>
  <c r="I11" i="1"/>
  <c r="I12" i="1"/>
  <c r="I13" i="1"/>
  <c r="I14" i="1"/>
  <c r="I15" i="1"/>
  <c r="I16" i="1"/>
  <c r="S2" i="1"/>
  <c r="Q2" i="1"/>
  <c r="N2" i="1"/>
  <c r="M2" i="1"/>
  <c r="L2" i="1"/>
  <c r="O2" i="1" s="1"/>
  <c r="K2" i="1"/>
  <c r="J2" i="1"/>
  <c r="I2" i="1"/>
  <c r="F4" i="3"/>
  <c r="F5" i="3"/>
  <c r="F6" i="3"/>
  <c r="F7" i="3"/>
  <c r="F8" i="3"/>
  <c r="F9" i="3"/>
  <c r="F10" i="3"/>
  <c r="F11" i="3"/>
  <c r="F12" i="3"/>
  <c r="F3" i="3"/>
  <c r="E4" i="3"/>
  <c r="E5" i="3"/>
  <c r="E6" i="3"/>
  <c r="E7" i="3"/>
  <c r="E8" i="3"/>
  <c r="E9" i="3"/>
  <c r="E10" i="3"/>
  <c r="E11" i="3"/>
  <c r="E12" i="3"/>
  <c r="E3" i="3"/>
  <c r="P7" i="1" l="1"/>
  <c r="P4" i="1"/>
  <c r="P5" i="1"/>
  <c r="P3" i="1"/>
  <c r="P15" i="1"/>
  <c r="P14" i="1"/>
  <c r="P13" i="1"/>
  <c r="P11" i="1"/>
  <c r="P10" i="1"/>
  <c r="P6" i="1"/>
  <c r="P16" i="1"/>
  <c r="P12" i="1"/>
  <c r="P9" i="1"/>
  <c r="P2" i="1"/>
  <c r="P8" i="1"/>
  <c r="O4" i="1"/>
  <c r="O3" i="1"/>
  <c r="O16" i="1"/>
  <c r="O5" i="1"/>
  <c r="O15" i="1"/>
  <c r="O9" i="1"/>
  <c r="O14" i="1"/>
  <c r="O13" i="1"/>
  <c r="O12" i="1"/>
  <c r="O11" i="1"/>
  <c r="O10" i="1"/>
  <c r="O8" i="1"/>
  <c r="O7" i="1"/>
  <c r="O6" i="1"/>
</calcChain>
</file>

<file path=xl/sharedStrings.xml><?xml version="1.0" encoding="utf-8"?>
<sst xmlns="http://schemas.openxmlformats.org/spreadsheetml/2006/main" count="193" uniqueCount="122">
  <si>
    <t>OrderID</t>
  </si>
  <si>
    <t>Date</t>
  </si>
  <si>
    <t>Cust_ID</t>
  </si>
  <si>
    <t>Prod_ID</t>
  </si>
  <si>
    <t>Qty</t>
  </si>
  <si>
    <t>Ship_Date</t>
  </si>
  <si>
    <t>Region</t>
  </si>
  <si>
    <t>Promo_Code</t>
  </si>
  <si>
    <t>ORD-24-1001</t>
  </si>
  <si>
    <t>C-001</t>
  </si>
  <si>
    <t>P-500</t>
  </si>
  <si>
    <t>North</t>
  </si>
  <si>
    <t>WELCOME10</t>
  </si>
  <si>
    <t>ORD-24-1002</t>
  </si>
  <si>
    <t>C-003</t>
  </si>
  <si>
    <t>P-502</t>
  </si>
  <si>
    <t>West</t>
  </si>
  <si>
    <t>ORD-24-1003</t>
  </si>
  <si>
    <t>C-002</t>
  </si>
  <si>
    <t>P-501</t>
  </si>
  <si>
    <t>East</t>
  </si>
  <si>
    <t>BULK25</t>
  </si>
  <si>
    <t>ORD-24-1004</t>
  </si>
  <si>
    <t>C-005</t>
  </si>
  <si>
    <t>P-505</t>
  </si>
  <si>
    <t>ORD-24-1005</t>
  </si>
  <si>
    <t>FREESHIP</t>
  </si>
  <si>
    <t>ORD-24-1006</t>
  </si>
  <si>
    <t>C-004</t>
  </si>
  <si>
    <t>P-503</t>
  </si>
  <si>
    <t>South</t>
  </si>
  <si>
    <t>ORD-24-1007</t>
  </si>
  <si>
    <t>C-006</t>
  </si>
  <si>
    <t>P-504</t>
  </si>
  <si>
    <t>ORD-24-1008</t>
  </si>
  <si>
    <t>ORD-24-1009</t>
  </si>
  <si>
    <t>C-008</t>
  </si>
  <si>
    <t>LATE_SORRY</t>
  </si>
  <si>
    <t>ORD-24-1010</t>
  </si>
  <si>
    <t>ORD-24-1011</t>
  </si>
  <si>
    <t>C-009</t>
  </si>
  <si>
    <t>BULK_VIP</t>
  </si>
  <si>
    <t>ORD-24-1012</t>
  </si>
  <si>
    <t>C-007</t>
  </si>
  <si>
    <t>ORD-24-1013</t>
  </si>
  <si>
    <t>C-010</t>
  </si>
  <si>
    <t>ORD-24-1014</t>
  </si>
  <si>
    <t>ORD-24-1015</t>
  </si>
  <si>
    <t>Product_Name</t>
  </si>
  <si>
    <t>Category</t>
  </si>
  <si>
    <t>Unit_Cost</t>
  </si>
  <si>
    <t>Unit_Price</t>
  </si>
  <si>
    <t>Supplier</t>
  </si>
  <si>
    <t>Wireless Mouse X1</t>
  </si>
  <si>
    <t>Electronics</t>
  </si>
  <si>
    <t>TechGiant</t>
  </si>
  <si>
    <t>Mech Keyboard RGB</t>
  </si>
  <si>
    <t>KeyWorld</t>
  </si>
  <si>
    <t>Ergo Office Chair</t>
  </si>
  <si>
    <t>Furniture</t>
  </si>
  <si>
    <t>SitRight</t>
  </si>
  <si>
    <t>Oak Standing Desk</t>
  </si>
  <si>
    <t>WoodWorks</t>
  </si>
  <si>
    <t>Smart LED Lamp</t>
  </si>
  <si>
    <t>Home Decor</t>
  </si>
  <si>
    <t>BrightLite</t>
  </si>
  <si>
    <t>Dual Monitor Arm</t>
  </si>
  <si>
    <t>P-999</t>
  </si>
  <si>
    <t>Extended Warranty</t>
  </si>
  <si>
    <t>Services</t>
  </si>
  <si>
    <t>ApexLogistics</t>
  </si>
  <si>
    <t>Customer_Raw_Name</t>
  </si>
  <si>
    <t>Email_Address</t>
  </si>
  <si>
    <t>Membership_Tier</t>
  </si>
  <si>
    <t>john smith</t>
  </si>
  <si>
    <t>j.smith@gmail.com</t>
  </si>
  <si>
    <t>Gold</t>
  </si>
  <si>
    <t xml:space="preserve">  SARAH CONNOR  </t>
  </si>
  <si>
    <t>s.connor@skynet.org</t>
  </si>
  <si>
    <t>Silver</t>
  </si>
  <si>
    <t>emily blunt</t>
  </si>
  <si>
    <t>e.blunt@studio.net</t>
  </si>
  <si>
    <t>Bronze</t>
  </si>
  <si>
    <t>MICHAEL scott</t>
  </si>
  <si>
    <t>m.scott@paperco.com</t>
  </si>
  <si>
    <t>dwight Schrute</t>
  </si>
  <si>
    <t>beets@farms.com</t>
  </si>
  <si>
    <t>jim HALPERT</t>
  </si>
  <si>
    <t>jim@paperco.com</t>
  </si>
  <si>
    <t>pam beesly</t>
  </si>
  <si>
    <t>art@paperco.com</t>
  </si>
  <si>
    <t>ryan howard</t>
  </si>
  <si>
    <t>temp@agency.com</t>
  </si>
  <si>
    <t>Creed Bratton</t>
  </si>
  <si>
    <t>unknown@unknown.com</t>
  </si>
  <si>
    <t>stanley hudson</t>
  </si>
  <si>
    <t>crossword@paperco.com</t>
  </si>
  <si>
    <t>Clean Name</t>
  </si>
  <si>
    <t>Email Domain</t>
  </si>
  <si>
    <t>Column1</t>
  </si>
  <si>
    <t>Column2</t>
  </si>
  <si>
    <t>Column3</t>
  </si>
  <si>
    <t>Column4</t>
  </si>
  <si>
    <t>Column5</t>
  </si>
  <si>
    <t>Column6</t>
  </si>
  <si>
    <t>Product Name</t>
  </si>
  <si>
    <t>Unit Cost</t>
  </si>
  <si>
    <t>Unit Price</t>
  </si>
  <si>
    <t>Customer Name</t>
  </si>
  <si>
    <t>Membership Tier</t>
  </si>
  <si>
    <t>Total Revenue</t>
  </si>
  <si>
    <t>Total Profit</t>
  </si>
  <si>
    <t>Days to Ship</t>
  </si>
  <si>
    <t>Status</t>
  </si>
  <si>
    <t>Promo Valid?</t>
  </si>
  <si>
    <t>Row Labels</t>
  </si>
  <si>
    <t>(blank)</t>
  </si>
  <si>
    <t>Grand Total</t>
  </si>
  <si>
    <t>Sum of Total Profit</t>
  </si>
  <si>
    <t>Count of OrderID</t>
  </si>
  <si>
    <t>CRITICAL DELAY</t>
  </si>
  <si>
    <t>Sum of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</si>
</sst>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14" fontId="0" fillId="0" borderId="0" xfId="0" applyNumberFormat="1"/>
    <xf numFmtId="164" fontId="0" fillId="0" borderId="0" xfId="1" applyNumberFormat="1" applyFont="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2">
    <cellStyle name="Currency" xfId="1" builtinId="4"/>
    <cellStyle name="Normal" xfId="0" builtinId="0"/>
  </cellStyles>
  <dxfs count="6">
    <dxf>
      <numFmt numFmtId="0" formatCode="General"/>
    </dxf>
    <dxf>
      <numFmt numFmtId="2" formatCode="0.00"/>
    </dxf>
    <dxf>
      <numFmt numFmtId="164" formatCode="&quot;$&quot;#,##0.00"/>
    </dxf>
    <dxf>
      <font>
        <b val="0"/>
        <i val="0"/>
        <strike val="0"/>
        <condense val="0"/>
        <extend val="0"/>
        <outline val="0"/>
        <shadow val="0"/>
        <u val="none"/>
        <vertAlign val="baseline"/>
        <sz val="11"/>
        <color theme="1"/>
        <name val="Aptos Narrow"/>
        <family val="2"/>
        <scheme val="minor"/>
      </font>
      <numFmt numFmtId="164" formatCode="&quot;$&quot;#,##0.00"/>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Apex Global Logistics Dashboard - Data Analyst.xlsx]Dashboard!PivotTable1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Profit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c:f>
              <c:strCache>
                <c:ptCount val="1"/>
                <c:pt idx="0">
                  <c:v>Total</c:v>
                </c:pt>
              </c:strCache>
            </c:strRef>
          </c:tx>
          <c:spPr>
            <a:solidFill>
              <a:schemeClr val="accent1"/>
            </a:solidFill>
            <a:ln>
              <a:noFill/>
            </a:ln>
            <a:effectLst/>
          </c:spPr>
          <c:invertIfNegative val="0"/>
          <c:cat>
            <c:strRef>
              <c:f>Dashboard!$A$4:$A$8</c:f>
              <c:strCache>
                <c:ptCount val="4"/>
                <c:pt idx="0">
                  <c:v>Electronics</c:v>
                </c:pt>
                <c:pt idx="1">
                  <c:v>Furniture</c:v>
                </c:pt>
                <c:pt idx="2">
                  <c:v>Home Decor</c:v>
                </c:pt>
                <c:pt idx="3">
                  <c:v>(blank)</c:v>
                </c:pt>
              </c:strCache>
            </c:strRef>
          </c:cat>
          <c:val>
            <c:numRef>
              <c:f>Dashboard!$B$4:$B$8</c:f>
              <c:numCache>
                <c:formatCode>"$"#,##0.00</c:formatCode>
                <c:ptCount val="4"/>
                <c:pt idx="0">
                  <c:v>2649.5300000000007</c:v>
                </c:pt>
                <c:pt idx="1">
                  <c:v>2439.94</c:v>
                </c:pt>
                <c:pt idx="2">
                  <c:v>150</c:v>
                </c:pt>
              </c:numCache>
            </c:numRef>
          </c:val>
          <c:extLst>
            <c:ext xmlns:c16="http://schemas.microsoft.com/office/drawing/2014/chart" uri="{C3380CC4-5D6E-409C-BE32-E72D297353CC}">
              <c16:uniqueId val="{00000000-89A5-42E8-8BBE-0C2859472EFE}"/>
            </c:ext>
          </c:extLst>
        </c:ser>
        <c:dLbls>
          <c:showLegendKey val="0"/>
          <c:showVal val="0"/>
          <c:showCatName val="0"/>
          <c:showSerName val="0"/>
          <c:showPercent val="0"/>
          <c:showBubbleSize val="0"/>
        </c:dLbls>
        <c:gapWidth val="219"/>
        <c:overlap val="-27"/>
        <c:axId val="1646865040"/>
        <c:axId val="1646864080"/>
      </c:barChart>
      <c:catAx>
        <c:axId val="164686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864080"/>
        <c:crosses val="autoZero"/>
        <c:auto val="1"/>
        <c:lblAlgn val="ctr"/>
        <c:lblOffset val="100"/>
        <c:noMultiLvlLbl val="0"/>
      </c:catAx>
      <c:valAx>
        <c:axId val="1646864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86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Apex Global Logistics Dashboard - Data Analyst.xlsx]Dashboard!PivotTable3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Membership Tier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Dashboard!$B$10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Dashboard!$A$11:$A$15</c:f>
              <c:strCache>
                <c:ptCount val="4"/>
                <c:pt idx="0">
                  <c:v>Bronze</c:v>
                </c:pt>
                <c:pt idx="1">
                  <c:v>Gold</c:v>
                </c:pt>
                <c:pt idx="2">
                  <c:v>Silver</c:v>
                </c:pt>
                <c:pt idx="3">
                  <c:v>(blank)</c:v>
                </c:pt>
              </c:strCache>
            </c:strRef>
          </c:cat>
          <c:val>
            <c:numRef>
              <c:f>Dashboard!$B$11:$B$15</c:f>
              <c:numCache>
                <c:formatCode>"$"#,##0.00</c:formatCode>
                <c:ptCount val="4"/>
                <c:pt idx="0">
                  <c:v>1004.97</c:v>
                </c:pt>
                <c:pt idx="1">
                  <c:v>3039.6900000000005</c:v>
                </c:pt>
                <c:pt idx="2">
                  <c:v>3924.8100000000004</c:v>
                </c:pt>
              </c:numCache>
            </c:numRef>
          </c:val>
          <c:extLst>
            <c:ext xmlns:c16="http://schemas.microsoft.com/office/drawing/2014/chart" uri="{C3380CC4-5D6E-409C-BE32-E72D297353CC}">
              <c16:uniqueId val="{00000000-B6FC-435B-8955-5286D9D0176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18</xdr:row>
      <xdr:rowOff>0</xdr:rowOff>
    </xdr:from>
    <xdr:to>
      <xdr:col>1</xdr:col>
      <xdr:colOff>1036320</xdr:colOff>
      <xdr:row>32</xdr:row>
      <xdr:rowOff>15240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0F45AFDF-E5AE-2A1E-26CE-14B331AA0B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960" y="3291840"/>
              <a:ext cx="1828800" cy="2575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434340</xdr:colOff>
      <xdr:row>18</xdr:row>
      <xdr:rowOff>0</xdr:rowOff>
    </xdr:from>
    <xdr:to>
      <xdr:col>6</xdr:col>
      <xdr:colOff>541020</xdr:colOff>
      <xdr:row>32</xdr:row>
      <xdr:rowOff>20955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18887500-483B-09C7-5314-17F37BE0334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855720" y="32918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18</xdr:row>
      <xdr:rowOff>7620</xdr:rowOff>
    </xdr:from>
    <xdr:to>
      <xdr:col>4</xdr:col>
      <xdr:colOff>365760</xdr:colOff>
      <xdr:row>32</xdr:row>
      <xdr:rowOff>28575</xdr:rowOff>
    </xdr:to>
    <mc:AlternateContent xmlns:mc="http://schemas.openxmlformats.org/markup-compatibility/2006">
      <mc:Choice xmlns:a14="http://schemas.microsoft.com/office/drawing/2010/main" Requires="a14">
        <xdr:graphicFrame macro="">
          <xdr:nvGraphicFramePr>
            <xdr:cNvPr id="4" name="Membership Tier">
              <a:extLst>
                <a:ext uri="{FF2B5EF4-FFF2-40B4-BE49-F238E27FC236}">
                  <a16:creationId xmlns:a16="http://schemas.microsoft.com/office/drawing/2014/main" id="{EE70851B-905C-A255-34E6-C909CB5EAB48}"/>
                </a:ext>
              </a:extLst>
            </xdr:cNvPr>
            <xdr:cNvGraphicFramePr/>
          </xdr:nvGraphicFramePr>
          <xdr:xfrm>
            <a:off x="0" y="0"/>
            <a:ext cx="0" cy="0"/>
          </xdr:xfrm>
          <a:graphic>
            <a:graphicData uri="http://schemas.microsoft.com/office/drawing/2010/slicer">
              <sle:slicer xmlns:sle="http://schemas.microsoft.com/office/drawing/2010/slicer" name="Membership Tier"/>
            </a:graphicData>
          </a:graphic>
        </xdr:graphicFrame>
      </mc:Choice>
      <mc:Fallback>
        <xdr:sp macro="" textlink="">
          <xdr:nvSpPr>
            <xdr:cNvPr id="0" name=""/>
            <xdr:cNvSpPr>
              <a:spLocks noTextEdit="1"/>
            </xdr:cNvSpPr>
          </xdr:nvSpPr>
          <xdr:spPr>
            <a:xfrm>
              <a:off x="1958340" y="32994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228600</xdr:colOff>
      <xdr:row>7</xdr:row>
      <xdr:rowOff>22860</xdr:rowOff>
    </xdr:from>
    <xdr:ext cx="3573780" cy="1371600"/>
    <mc:AlternateContent xmlns:mc="http://schemas.openxmlformats.org/markup-compatibility/2006">
      <mc:Choice xmlns:tsle="http://schemas.microsoft.com/office/drawing/2012/timeslicer" Requires="tsle">
        <xdr:graphicFrame macro="">
          <xdr:nvGraphicFramePr>
            <xdr:cNvPr id="5" name="Date">
              <a:extLst>
                <a:ext uri="{FF2B5EF4-FFF2-40B4-BE49-F238E27FC236}">
                  <a16:creationId xmlns:a16="http://schemas.microsoft.com/office/drawing/2014/main" id="{56E078ED-3255-8588-0312-3FA5EBCE18F5}"/>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186940" y="1303020"/>
              <a:ext cx="357378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oneCellAnchor>
  <xdr:twoCellAnchor>
    <xdr:from>
      <xdr:col>7</xdr:col>
      <xdr:colOff>152400</xdr:colOff>
      <xdr:row>0</xdr:row>
      <xdr:rowOff>83820</xdr:rowOff>
    </xdr:from>
    <xdr:to>
      <xdr:col>14</xdr:col>
      <xdr:colOff>457200</xdr:colOff>
      <xdr:row>13</xdr:row>
      <xdr:rowOff>80010</xdr:rowOff>
    </xdr:to>
    <xdr:graphicFrame macro="">
      <xdr:nvGraphicFramePr>
        <xdr:cNvPr id="6" name="Chart 5">
          <a:extLst>
            <a:ext uri="{FF2B5EF4-FFF2-40B4-BE49-F238E27FC236}">
              <a16:creationId xmlns:a16="http://schemas.microsoft.com/office/drawing/2014/main" id="{A377C214-890A-EDBB-30FB-2BAF90ED75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251460</xdr:colOff>
      <xdr:row>14</xdr:row>
      <xdr:rowOff>179070</xdr:rowOff>
    </xdr:from>
    <xdr:to>
      <xdr:col>14</xdr:col>
      <xdr:colOff>556260</xdr:colOff>
      <xdr:row>29</xdr:row>
      <xdr:rowOff>179070</xdr:rowOff>
    </xdr:to>
    <xdr:graphicFrame macro="">
      <xdr:nvGraphicFramePr>
        <xdr:cNvPr id="7" name="Chart 6">
          <a:extLst>
            <a:ext uri="{FF2B5EF4-FFF2-40B4-BE49-F238E27FC236}">
              <a16:creationId xmlns:a16="http://schemas.microsoft.com/office/drawing/2014/main" id="{CE93474F-A6EE-E638-0621-4E4A7A21A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20</xdr:col>
      <xdr:colOff>563880</xdr:colOff>
      <xdr:row>18</xdr:row>
      <xdr:rowOff>45720</xdr:rowOff>
    </xdr:from>
    <xdr:to>
      <xdr:col>26</xdr:col>
      <xdr:colOff>72390</xdr:colOff>
      <xdr:row>46</xdr:row>
      <xdr:rowOff>135890</xdr:rowOff>
    </xdr:to>
    <xdr:sp macro="" textlink="">
      <xdr:nvSpPr>
        <xdr:cNvPr id="2" name="TextBox 1">
          <a:extLst>
            <a:ext uri="{FF2B5EF4-FFF2-40B4-BE49-F238E27FC236}">
              <a16:creationId xmlns:a16="http://schemas.microsoft.com/office/drawing/2014/main" id="{428AA2C1-3196-D29F-0A05-860DAC3AD83A}"/>
            </a:ext>
          </a:extLst>
        </xdr:cNvPr>
        <xdr:cNvSpPr txBox="1"/>
      </xdr:nvSpPr>
      <xdr:spPr>
        <a:xfrm>
          <a:off x="14767560" y="3337560"/>
          <a:ext cx="3166110" cy="5210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CAPSTONE PROJECT: Apex Global Logistics Dashboard</a:t>
          </a:r>
        </a:p>
        <a:p>
          <a:r>
            <a:rPr lang="en-IN" b="1"/>
            <a:t>Role:</a:t>
          </a:r>
          <a:r>
            <a:rPr lang="en-IN"/>
            <a:t> Junior Data Analyst</a:t>
          </a:r>
        </a:p>
        <a:p>
          <a:r>
            <a:rPr lang="en-IN" b="1"/>
            <a:t>Company:</a:t>
          </a:r>
          <a:r>
            <a:rPr lang="en-IN"/>
            <a:t> Apex Global Logistics</a:t>
          </a:r>
        </a:p>
        <a:p>
          <a:r>
            <a:rPr lang="en-IN" b="1"/>
            <a:t>Tools:</a:t>
          </a:r>
          <a:r>
            <a:rPr lang="en-IN"/>
            <a:t> Microsoft Excel (Advanced)</a:t>
          </a:r>
        </a:p>
        <a:p>
          <a:r>
            <a:rPr lang="en-IN" b="1"/>
            <a:t>1. The Scenario</a:t>
          </a:r>
        </a:p>
        <a:p>
          <a:r>
            <a:rPr lang="en-IN"/>
            <a:t>You have just joined the Supply Chain team at Apex Global. The Sales Director has emailed you three raw data files exported from the company's legacy systems:</a:t>
          </a:r>
        </a:p>
        <a:p>
          <a:r>
            <a:rPr lang="en-IN" b="1"/>
            <a:t>Raw_Orders:</a:t>
          </a:r>
          <a:r>
            <a:rPr lang="en-IN"/>
            <a:t> A transactional list of recent shipments.</a:t>
          </a:r>
        </a:p>
        <a:p>
          <a:r>
            <a:rPr lang="en-IN" b="1"/>
            <a:t>Product_Master:</a:t>
          </a:r>
          <a:r>
            <a:rPr lang="en-IN"/>
            <a:t> A price list of all items.</a:t>
          </a:r>
        </a:p>
        <a:p>
          <a:r>
            <a:rPr lang="en-IN" b="1"/>
            <a:t>Customer_Database:</a:t>
          </a:r>
          <a:r>
            <a:rPr lang="en-IN"/>
            <a:t> A contact list that was manually typed in (and contains errors).</a:t>
          </a:r>
        </a:p>
        <a:p>
          <a:r>
            <a:rPr lang="en-IN"/>
            <a:t>Your manager needs a </a:t>
          </a:r>
          <a:r>
            <a:rPr lang="en-IN" b="1"/>
            <a:t>Dynamic Executive Dashboard</a:t>
          </a:r>
          <a:r>
            <a:rPr lang="en-IN"/>
            <a:t> by the end of the day. The current data is fragmented, messy, and lacks key profitability metrics.</a:t>
          </a:r>
        </a:p>
        <a:p>
          <a:r>
            <a:rPr lang="en-IN" b="1"/>
            <a:t>2. Your Mission (Tasks)</a:t>
          </a:r>
        </a:p>
        <a:p>
          <a:r>
            <a:rPr lang="en-IN" b="1"/>
            <a:t>Part A: Data Cleaning (Text Functions)</a:t>
          </a:r>
        </a:p>
        <a:p>
          <a:r>
            <a:rPr lang="en-IN" i="1"/>
            <a:t>The Customer Database is a mess. We cannot send emails to clients with lowercase names or extra spaces.</a:t>
          </a:r>
          <a:endParaRPr lang="en-IN"/>
        </a:p>
        <a:p>
          <a:r>
            <a:rPr lang="en-IN"/>
            <a:t>Navigate to the </a:t>
          </a:r>
          <a:r>
            <a:rPr lang="en-IN" b="1"/>
            <a:t>Customer_Database</a:t>
          </a:r>
          <a:r>
            <a:rPr lang="en-IN"/>
            <a:t> sheet.</a:t>
          </a:r>
        </a:p>
        <a:p>
          <a:r>
            <a:rPr lang="en-IN"/>
            <a:t>Create a column </a:t>
          </a:r>
          <a:r>
            <a:rPr lang="en-IN" b="1"/>
            <a:t>"Clean Name"</a:t>
          </a:r>
          <a:r>
            <a:rPr lang="en-IN"/>
            <a:t>. Use Excel formulas to ensure all names are Proper Case (e.g., "John Smith") and have no leading/trailing spaces.</a:t>
          </a:r>
        </a:p>
        <a:p>
          <a:r>
            <a:rPr lang="en-IN"/>
            <a:t>Create a column </a:t>
          </a:r>
          <a:r>
            <a:rPr lang="en-IN" b="1"/>
            <a:t>"Email Domain"</a:t>
          </a:r>
          <a:r>
            <a:rPr lang="en-IN"/>
            <a:t>. Extract </a:t>
          </a:r>
          <a:r>
            <a:rPr lang="en-IN" i="1"/>
            <a:t>only</a:t>
          </a:r>
          <a:r>
            <a:rPr lang="en-IN"/>
            <a:t> the domain name from the email address (e.g., extract "gmail.com" from "j.smith@gmail.com").</a:t>
          </a:r>
        </a:p>
        <a:p>
          <a:r>
            <a:rPr lang="en-IN" b="1"/>
            <a:t>Part B: Data Integration (Advanced Lookups)</a:t>
          </a:r>
        </a:p>
        <a:p>
          <a:r>
            <a:rPr lang="en-IN" i="1"/>
            <a:t>The Orders sheet is missing product details and customer names. Connect the datasets.</a:t>
          </a:r>
          <a:endParaRPr lang="en-IN"/>
        </a:p>
        <a:p>
          <a:r>
            <a:rPr lang="en-IN"/>
            <a:t>Navigate to the </a:t>
          </a:r>
          <a:r>
            <a:rPr lang="en-IN" b="1"/>
            <a:t>Raw_Orders</a:t>
          </a:r>
          <a:r>
            <a:rPr lang="en-IN"/>
            <a:t> sheet.</a:t>
          </a:r>
        </a:p>
        <a:p>
          <a:r>
            <a:rPr lang="en-IN"/>
            <a:t>Bring in </a:t>
          </a:r>
          <a:r>
            <a:rPr lang="en-IN" b="1"/>
            <a:t>Product Name</a:t>
          </a:r>
          <a:r>
            <a:rPr lang="en-IN"/>
            <a:t>, </a:t>
          </a:r>
          <a:r>
            <a:rPr lang="en-IN" b="1"/>
            <a:t>Category</a:t>
          </a:r>
          <a:r>
            <a:rPr lang="en-IN"/>
            <a:t>, </a:t>
          </a:r>
          <a:r>
            <a:rPr lang="en-IN" b="1"/>
            <a:t>Unit Cost</a:t>
          </a:r>
          <a:r>
            <a:rPr lang="en-IN"/>
            <a:t>, and </a:t>
          </a:r>
          <a:r>
            <a:rPr lang="en-IN" b="1"/>
            <a:t>Unit Price</a:t>
          </a:r>
          <a:r>
            <a:rPr lang="en-IN"/>
            <a:t> from the </a:t>
          </a:r>
          <a:r>
            <a:rPr lang="en-IN" i="1"/>
            <a:t>Product_Master</a:t>
          </a:r>
          <a:r>
            <a:rPr lang="en-IN"/>
            <a:t> sheet based on the </a:t>
          </a:r>
          <a:r>
            <a:rPr lang="en-IN" sz="1100">
              <a:solidFill>
                <a:schemeClr val="dk1"/>
              </a:solidFill>
              <a:latin typeface="+mn-lt"/>
              <a:ea typeface="+mn-ea"/>
              <a:cs typeface="+mn-cs"/>
            </a:rPr>
            <a:t>Prod_ID</a:t>
          </a:r>
          <a:r>
            <a:rPr lang="en-IN"/>
            <a:t>.</a:t>
          </a:r>
        </a:p>
        <a:p>
          <a:r>
            <a:rPr lang="en-IN"/>
            <a:t>Bring in the </a:t>
          </a:r>
          <a:r>
            <a:rPr lang="en-IN" b="1"/>
            <a:t>Clean Name</a:t>
          </a:r>
          <a:r>
            <a:rPr lang="en-IN"/>
            <a:t> and </a:t>
          </a:r>
          <a:r>
            <a:rPr lang="en-IN" b="1"/>
            <a:t>Membership_Tier</a:t>
          </a:r>
          <a:r>
            <a:rPr lang="en-IN"/>
            <a:t> from the </a:t>
          </a:r>
          <a:r>
            <a:rPr lang="en-IN" i="1"/>
            <a:t>Customer_Database</a:t>
          </a:r>
          <a:r>
            <a:rPr lang="en-IN"/>
            <a:t> sheet based on the </a:t>
          </a:r>
          <a:r>
            <a:rPr lang="en-IN" sz="1100">
              <a:solidFill>
                <a:schemeClr val="dk1"/>
              </a:solidFill>
              <a:latin typeface="+mn-lt"/>
              <a:ea typeface="+mn-ea"/>
              <a:cs typeface="+mn-cs"/>
            </a:rPr>
            <a:t>Cust_ID</a:t>
          </a:r>
          <a:r>
            <a:rPr lang="en-IN"/>
            <a:t>.</a:t>
          </a:r>
        </a:p>
        <a:p>
          <a:r>
            <a:rPr lang="en-IN" b="1"/>
            <a:t>Error Check:</a:t>
          </a:r>
          <a:r>
            <a:rPr lang="en-IN"/>
            <a:t> If a Product ID is not found in the master list, the cell should display "Unknown Item" instead of an error code.</a:t>
          </a:r>
        </a:p>
        <a:p>
          <a:r>
            <a:rPr lang="en-IN" b="1"/>
            <a:t>Part C: Business Logic (IF, AND, OR)</a:t>
          </a:r>
        </a:p>
        <a:p>
          <a:r>
            <a:rPr lang="en-IN" i="1"/>
            <a:t>We need to calculate financial metrics and flag shipping issues.</a:t>
          </a:r>
          <a:endParaRPr lang="en-IN"/>
        </a:p>
        <a:p>
          <a:r>
            <a:rPr lang="en-IN" b="1"/>
            <a:t>Financials:</a:t>
          </a:r>
          <a:r>
            <a:rPr lang="en-IN"/>
            <a:t> Calculate </a:t>
          </a:r>
          <a:r>
            <a:rPr lang="en-IN" b="1"/>
            <a:t>Total Revenue</a:t>
          </a:r>
          <a:r>
            <a:rPr lang="en-IN"/>
            <a:t> (Qty * Price) and </a:t>
          </a:r>
          <a:r>
            <a:rPr lang="en-IN" b="1"/>
            <a:t>Total Profit</a:t>
          </a:r>
          <a:r>
            <a:rPr lang="en-IN"/>
            <a:t> ((Price - Cost) * Qty).</a:t>
          </a:r>
        </a:p>
        <a:p>
          <a:r>
            <a:rPr lang="en-IN" b="1"/>
            <a:t>Shipping Delay Calculation:</a:t>
          </a:r>
          <a:r>
            <a:rPr lang="en-IN"/>
            <a:t> Calculate the </a:t>
          </a:r>
          <a:r>
            <a:rPr lang="en-IN" sz="1100">
              <a:solidFill>
                <a:schemeClr val="dk1"/>
              </a:solidFill>
              <a:latin typeface="+mn-lt"/>
              <a:ea typeface="+mn-ea"/>
              <a:cs typeface="+mn-cs"/>
            </a:rPr>
            <a:t>Days to Ship</a:t>
          </a:r>
          <a:r>
            <a:rPr lang="en-IN"/>
            <a:t> (Ship_Date minus Date).</a:t>
          </a:r>
        </a:p>
        <a:p>
          <a:r>
            <a:rPr lang="en-IN" b="1"/>
            <a:t>SLA Status Flag (Nested Logic):</a:t>
          </a:r>
          <a:endParaRPr lang="en-IN"/>
        </a:p>
        <a:p>
          <a:pPr lvl="1"/>
          <a:r>
            <a:rPr lang="en-IN"/>
            <a:t>Create a column called "Status".</a:t>
          </a:r>
        </a:p>
        <a:p>
          <a:pPr lvl="1"/>
          <a:r>
            <a:rPr lang="en-IN"/>
            <a:t>If </a:t>
          </a:r>
          <a:r>
            <a:rPr lang="en-IN" sz="1100">
              <a:solidFill>
                <a:schemeClr val="dk1"/>
              </a:solidFill>
              <a:latin typeface="+mn-lt"/>
              <a:ea typeface="+mn-ea"/>
              <a:cs typeface="+mn-cs"/>
            </a:rPr>
            <a:t>Days to Ship</a:t>
          </a:r>
          <a:r>
            <a:rPr lang="en-IN"/>
            <a:t> is </a:t>
          </a:r>
          <a:r>
            <a:rPr lang="en-IN" b="1"/>
            <a:t>greater than 5</a:t>
          </a:r>
          <a:r>
            <a:rPr lang="en-IN"/>
            <a:t>, mark as </a:t>
          </a:r>
          <a:r>
            <a:rPr lang="en-IN" b="1"/>
            <a:t>"Late"</a:t>
          </a:r>
          <a:r>
            <a:rPr lang="en-IN"/>
            <a:t>.</a:t>
          </a:r>
        </a:p>
        <a:p>
          <a:pPr lvl="1"/>
          <a:r>
            <a:rPr lang="en-IN"/>
            <a:t>If </a:t>
          </a:r>
          <a:r>
            <a:rPr lang="en-IN" sz="1100">
              <a:solidFill>
                <a:schemeClr val="dk1"/>
              </a:solidFill>
              <a:latin typeface="+mn-lt"/>
              <a:ea typeface="+mn-ea"/>
              <a:cs typeface="+mn-cs"/>
            </a:rPr>
            <a:t>Days to Ship</a:t>
          </a:r>
          <a:r>
            <a:rPr lang="en-IN"/>
            <a:t> is </a:t>
          </a:r>
          <a:r>
            <a:rPr lang="en-IN" b="1"/>
            <a:t>5 or less</a:t>
          </a:r>
          <a:r>
            <a:rPr lang="en-IN"/>
            <a:t>, mark as </a:t>
          </a:r>
          <a:r>
            <a:rPr lang="en-IN" b="1"/>
            <a:t>"On Time"</a:t>
          </a:r>
          <a:r>
            <a:rPr lang="en-IN"/>
            <a:t>.</a:t>
          </a:r>
        </a:p>
        <a:p>
          <a:pPr lvl="1"/>
          <a:r>
            <a:rPr lang="en-IN" i="1"/>
            <a:t>Advanced Requirement:</a:t>
          </a:r>
          <a:r>
            <a:rPr lang="en-IN"/>
            <a:t> If the shipment is "Late" </a:t>
          </a:r>
          <a:r>
            <a:rPr lang="en-IN" b="1"/>
            <a:t>AND</a:t>
          </a:r>
          <a:r>
            <a:rPr lang="en-IN"/>
            <a:t> the Region is "North", mark it as </a:t>
          </a:r>
          <a:r>
            <a:rPr lang="en-IN" b="1"/>
            <a:t>"CRITICAL DELAY"</a:t>
          </a:r>
          <a:r>
            <a:rPr lang="en-IN"/>
            <a:t>.</a:t>
          </a:r>
        </a:p>
        <a:p>
          <a:r>
            <a:rPr lang="en-IN" b="1"/>
            <a:t>Valid Promo Check:</a:t>
          </a:r>
          <a:endParaRPr lang="en-IN"/>
        </a:p>
        <a:p>
          <a:pPr lvl="1"/>
          <a:r>
            <a:rPr lang="en-IN"/>
            <a:t>Create a column "Promo Valid?".</a:t>
          </a:r>
        </a:p>
        <a:p>
          <a:pPr lvl="1"/>
          <a:r>
            <a:rPr lang="en-IN"/>
            <a:t>Return </a:t>
          </a:r>
          <a:r>
            <a:rPr lang="en-IN" b="1"/>
            <a:t>TRUE</a:t>
          </a:r>
          <a:r>
            <a:rPr lang="en-IN"/>
            <a:t> if the Promo Code is "WELCOME10" </a:t>
          </a:r>
          <a:r>
            <a:rPr lang="en-IN" b="1"/>
            <a:t>OR</a:t>
          </a:r>
          <a:r>
            <a:rPr lang="en-IN"/>
            <a:t> "FREESHIP". Otherwise, return </a:t>
          </a:r>
          <a:r>
            <a:rPr lang="en-IN" b="1"/>
            <a:t>FALSE</a:t>
          </a:r>
          <a:r>
            <a:rPr lang="en-IN"/>
            <a:t>.</a:t>
          </a:r>
        </a:p>
        <a:p>
          <a:r>
            <a:rPr lang="en-IN" b="1"/>
            <a:t>Part D: Dashboard &amp; Visualization (Pivots &amp; Slicers)</a:t>
          </a:r>
        </a:p>
        <a:p>
          <a:r>
            <a:rPr lang="en-IN" i="1"/>
            <a:t>Create a visual summary for the Director.</a:t>
          </a:r>
          <a:endParaRPr lang="en-IN"/>
        </a:p>
        <a:p>
          <a:r>
            <a:rPr lang="en-IN"/>
            <a:t>Create a new sheet named </a:t>
          </a:r>
          <a:r>
            <a:rPr lang="en-IN" b="1"/>
            <a:t>"Executive_Dashboard"</a:t>
          </a:r>
          <a:r>
            <a:rPr lang="en-IN"/>
            <a:t>.</a:t>
          </a:r>
        </a:p>
        <a:p>
          <a:r>
            <a:rPr lang="en-IN" b="1"/>
            <a:t>Pivot Table 1:</a:t>
          </a:r>
          <a:r>
            <a:rPr lang="en-IN"/>
            <a:t> Total Profit by </a:t>
          </a:r>
          <a:r>
            <a:rPr lang="en-IN" b="1"/>
            <a:t>Product Category</a:t>
          </a:r>
          <a:r>
            <a:rPr lang="en-IN"/>
            <a:t>.</a:t>
          </a:r>
        </a:p>
        <a:p>
          <a:r>
            <a:rPr lang="en-IN" b="1"/>
            <a:t>Pivot Table 2:</a:t>
          </a:r>
          <a:r>
            <a:rPr lang="en-IN"/>
            <a:t> Count of "Critical Delays" by </a:t>
          </a:r>
          <a:r>
            <a:rPr lang="en-IN" b="1"/>
            <a:t>Region</a:t>
          </a:r>
          <a:r>
            <a:rPr lang="en-IN"/>
            <a:t>.</a:t>
          </a:r>
        </a:p>
        <a:p>
          <a:r>
            <a:rPr lang="en-IN" b="1"/>
            <a:t>Pivot Table 3:</a:t>
          </a:r>
          <a:r>
            <a:rPr lang="en-IN"/>
            <a:t> Total Revenue by </a:t>
          </a:r>
          <a:r>
            <a:rPr lang="en-IN" b="1"/>
            <a:t>Membership Tier</a:t>
          </a:r>
          <a:r>
            <a:rPr lang="en-IN"/>
            <a:t>.</a:t>
          </a:r>
        </a:p>
        <a:p>
          <a:r>
            <a:rPr lang="en-IN" b="1"/>
            <a:t>Slicers:</a:t>
          </a:r>
          <a:r>
            <a:rPr lang="en-IN"/>
            <a:t> Add a Timeline Slicer (Date) and a Category Slicer. Connect them to all Pivot Tables.</a:t>
          </a:r>
        </a:p>
        <a:p>
          <a:r>
            <a:rPr lang="en-IN" b="1"/>
            <a:t>Charts:</a:t>
          </a:r>
          <a:r>
            <a:rPr lang="en-IN"/>
            <a:t> Create one Column Chart and one Pie Chart representing the data.</a:t>
          </a:r>
        </a:p>
        <a:p>
          <a:r>
            <a:rPr lang="en-IN" b="1"/>
            <a:t>3. Submission Guidelines</a:t>
          </a:r>
        </a:p>
        <a:p>
          <a:r>
            <a:rPr lang="en-IN"/>
            <a:t>Ensure all formulas are dynamic.</a:t>
          </a:r>
        </a:p>
        <a:p>
          <a:r>
            <a:rPr lang="en-IN"/>
            <a:t>Format currency cells as </a:t>
          </a:r>
          <a:r>
            <a:rPr lang="en-IN" sz="1100">
              <a:solidFill>
                <a:schemeClr val="dk1"/>
              </a:solidFill>
              <a:latin typeface="+mn-lt"/>
              <a:ea typeface="+mn-ea"/>
              <a:cs typeface="+mn-cs"/>
            </a:rPr>
            <a:t>$</a:t>
          </a:r>
          <a:r>
            <a:rPr lang="en-IN"/>
            <a:t> and dates as </a:t>
          </a:r>
          <a:r>
            <a:rPr lang="en-IN" sz="1100">
              <a:solidFill>
                <a:schemeClr val="dk1"/>
              </a:solidFill>
              <a:latin typeface="+mn-lt"/>
              <a:ea typeface="+mn-ea"/>
              <a:cs typeface="+mn-cs"/>
            </a:rPr>
            <a:t>DD-MMM-YY</a:t>
          </a:r>
          <a:r>
            <a:rPr lang="en-IN"/>
            <a:t>.</a:t>
          </a:r>
        </a:p>
        <a:p>
          <a:r>
            <a:rPr lang="en-IN"/>
            <a:t>Rename your file </a:t>
          </a:r>
          <a:r>
            <a:rPr lang="en-IN" sz="1100">
              <a:solidFill>
                <a:schemeClr val="dk1"/>
              </a:solidFill>
              <a:latin typeface="+mn-lt"/>
              <a:ea typeface="+mn-ea"/>
              <a:cs typeface="+mn-cs"/>
            </a:rPr>
            <a:t>Firstname_Lastname_Apex_Capstone.xlsx</a:t>
          </a:r>
          <a:r>
            <a:rPr lang="en-IN"/>
            <a:t>.</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u Ambavane" refreshedDate="46053.839298842591" createdVersion="8" refreshedVersion="8" minRefreshableVersion="3" recordCount="45" xr:uid="{812D7745-A101-4F19-B970-48A23C3B2EB7}">
  <cacheSource type="worksheet">
    <worksheetSource ref="A1:S46" sheet="Raw_orders"/>
  </cacheSource>
  <cacheFields count="19">
    <cacheField name="OrderID" numFmtId="0">
      <sharedItems containsBlank="1"/>
    </cacheField>
    <cacheField name="Date" numFmtId="0">
      <sharedItems containsNonDate="0" containsDate="1" containsString="0" containsBlank="1" minDate="2024-01-03T00:00:00" maxDate="2024-01-31T00:00:00" count="16">
        <d v="2024-01-03T00:00:00"/>
        <d v="2024-01-04T00:00:00"/>
        <d v="2024-01-06T00:00:00"/>
        <d v="2024-01-08T00:00:00"/>
        <d v="2024-01-10T00:00:00"/>
        <d v="2024-01-12T00:00:00"/>
        <d v="2024-01-15T00:00:00"/>
        <d v="2024-01-16T00:00:00"/>
        <d v="2024-01-18T00:00:00"/>
        <d v="2024-01-20T00:00:00"/>
        <d v="2024-01-22T00:00:00"/>
        <d v="2024-01-25T00:00:00"/>
        <d v="2024-01-26T00:00:00"/>
        <d v="2024-01-28T00:00:00"/>
        <d v="2024-01-30T00:00:00"/>
        <m/>
      </sharedItems>
    </cacheField>
    <cacheField name="Cust_ID" numFmtId="0">
      <sharedItems containsBlank="1"/>
    </cacheField>
    <cacheField name="Prod_ID" numFmtId="0">
      <sharedItems containsBlank="1"/>
    </cacheField>
    <cacheField name="Qty" numFmtId="0">
      <sharedItems containsString="0" containsBlank="1" containsNumber="1" containsInteger="1" minValue="1" maxValue="20"/>
    </cacheField>
    <cacheField name="Ship_Date" numFmtId="0">
      <sharedItems containsNonDate="0" containsDate="1" containsString="0" containsBlank="1" minDate="2024-01-05T00:00:00" maxDate="2024-02-06T00:00:00"/>
    </cacheField>
    <cacheField name="Region" numFmtId="0">
      <sharedItems containsBlank="1" count="5">
        <s v="North"/>
        <s v="West"/>
        <s v="East"/>
        <s v="South"/>
        <m/>
      </sharedItems>
    </cacheField>
    <cacheField name="Promo_Code" numFmtId="0">
      <sharedItems containsBlank="1"/>
    </cacheField>
    <cacheField name="Product Name" numFmtId="0">
      <sharedItems containsBlank="1"/>
    </cacheField>
    <cacheField name="Category" numFmtId="0">
      <sharedItems containsBlank="1" count="4">
        <s v="Electronics"/>
        <s v="Furniture"/>
        <s v="Home Decor"/>
        <m/>
      </sharedItems>
    </cacheField>
    <cacheField name="Unit Cost" numFmtId="0">
      <sharedItems containsString="0" containsBlank="1" containsNumber="1" minValue="12.5" maxValue="160"/>
    </cacheField>
    <cacheField name="Unit Price" numFmtId="0">
      <sharedItems containsString="0" containsBlank="1" containsNumber="1" minValue="39.99" maxValue="450"/>
    </cacheField>
    <cacheField name="Customer Name" numFmtId="0">
      <sharedItems containsBlank="1"/>
    </cacheField>
    <cacheField name="Membership Tier" numFmtId="0">
      <sharedItems containsBlank="1" count="4">
        <s v="Gold"/>
        <s v="Bronze"/>
        <s v="Silver"/>
        <m/>
      </sharedItems>
    </cacheField>
    <cacheField name="Total Revenue" numFmtId="0">
      <sharedItems containsString="0" containsBlank="1" containsNumber="1" minValue="39.99" maxValue="1350"/>
    </cacheField>
    <cacheField name="Total Profit" numFmtId="0">
      <sharedItems containsString="0" containsBlank="1" containsNumber="1" minValue="27.490000000000002" maxValue="870"/>
    </cacheField>
    <cacheField name="Days to Ship" numFmtId="0">
      <sharedItems containsString="0" containsBlank="1" containsNumber="1" containsInteger="1" minValue="1" maxValue="11"/>
    </cacheField>
    <cacheField name="Status" numFmtId="0">
      <sharedItems containsBlank="1" count="4">
        <s v="On Time"/>
        <s v="Late"/>
        <s v="CRITICAL DELAY"/>
        <m/>
      </sharedItems>
    </cacheField>
    <cacheField name="Promo Valid?" numFmtId="0">
      <sharedItems containsBlank="1"/>
    </cacheField>
  </cacheFields>
  <extLst>
    <ext xmlns:x14="http://schemas.microsoft.com/office/spreadsheetml/2009/9/main" uri="{725AE2AE-9491-48be-B2B4-4EB974FC3084}">
      <x14:pivotCacheDefinition pivotCacheId="1690081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s v="ORD-24-1001"/>
    <x v="0"/>
    <s v="C-001"/>
    <s v="P-500"/>
    <n v="5"/>
    <d v="2024-01-05T00:00:00"/>
    <x v="0"/>
    <s v="WELCOME10"/>
    <s v="Wireless Mouse X1"/>
    <x v="0"/>
    <n v="12.5"/>
    <n v="39.99"/>
    <s v="John Smith"/>
    <x v="0"/>
    <n v="199.95000000000002"/>
    <n v="137.45000000000002"/>
    <n v="2"/>
    <x v="0"/>
    <b v="1"/>
  </r>
  <r>
    <s v="ORD-24-1002"/>
    <x v="1"/>
    <s v="C-003"/>
    <s v="P-502"/>
    <n v="1"/>
    <d v="2024-01-08T00:00:00"/>
    <x v="1"/>
    <m/>
    <s v="Ergo Office Chair"/>
    <x v="1"/>
    <n v="85"/>
    <n v="249.99"/>
    <s v="Emily Blunt"/>
    <x v="1"/>
    <n v="249.99"/>
    <n v="164.99"/>
    <n v="4"/>
    <x v="0"/>
    <b v="0"/>
  </r>
  <r>
    <s v="ORD-24-1003"/>
    <x v="2"/>
    <s v="C-002"/>
    <s v="P-501"/>
    <n v="10"/>
    <d v="2024-01-14T00:00:00"/>
    <x v="2"/>
    <s v="BULK25"/>
    <s v="Mech Keyboard RGB"/>
    <x v="0"/>
    <n v="45"/>
    <n v="129.99"/>
    <s v="Sarah Connor"/>
    <x v="2"/>
    <n v="1299.9000000000001"/>
    <n v="849.90000000000009"/>
    <n v="8"/>
    <x v="1"/>
    <b v="0"/>
  </r>
  <r>
    <s v="ORD-24-1004"/>
    <x v="3"/>
    <s v="C-005"/>
    <s v="P-505"/>
    <n v="2"/>
    <d v="2024-01-09T00:00:00"/>
    <x v="0"/>
    <m/>
    <s v="Dual Monitor Arm"/>
    <x v="0"/>
    <n v="25"/>
    <n v="75"/>
    <s v="Dwight Schrute"/>
    <x v="2"/>
    <n v="150"/>
    <n v="100"/>
    <n v="1"/>
    <x v="0"/>
    <b v="0"/>
  </r>
  <r>
    <s v="ORD-24-1005"/>
    <x v="4"/>
    <s v="C-001"/>
    <s v="P-500"/>
    <n v="1"/>
    <d v="2024-01-12T00:00:00"/>
    <x v="0"/>
    <s v="FREESHIP"/>
    <s v="Wireless Mouse X1"/>
    <x v="0"/>
    <n v="12.5"/>
    <n v="39.99"/>
    <s v="John Smith"/>
    <x v="0"/>
    <n v="39.99"/>
    <n v="27.490000000000002"/>
    <n v="2"/>
    <x v="0"/>
    <b v="1"/>
  </r>
  <r>
    <s v="ORD-24-1006"/>
    <x v="5"/>
    <s v="C-004"/>
    <s v="P-503"/>
    <n v="3"/>
    <d v="2024-01-19T00:00:00"/>
    <x v="3"/>
    <s v="WELCOME10"/>
    <s v="Oak Standing Desk"/>
    <x v="1"/>
    <n v="160"/>
    <n v="450"/>
    <s v="Michael Scott"/>
    <x v="0"/>
    <n v="1350"/>
    <n v="870"/>
    <n v="7"/>
    <x v="2"/>
    <b v="1"/>
  </r>
  <r>
    <s v="ORD-24-1007"/>
    <x v="6"/>
    <s v="C-006"/>
    <s v="P-504"/>
    <n v="4"/>
    <d v="2024-01-22T00:00:00"/>
    <x v="1"/>
    <m/>
    <s v="Smart LED Lamp"/>
    <x v="2"/>
    <n v="15"/>
    <n v="45"/>
    <s v="Jim Halpert"/>
    <x v="1"/>
    <n v="180"/>
    <n v="120"/>
    <n v="7"/>
    <x v="1"/>
    <b v="0"/>
  </r>
  <r>
    <s v="ORD-24-1008"/>
    <x v="7"/>
    <s v="C-002"/>
    <s v="P-501"/>
    <n v="6"/>
    <d v="2024-01-18T00:00:00"/>
    <x v="2"/>
    <m/>
    <s v="Mech Keyboard RGB"/>
    <x v="0"/>
    <n v="45"/>
    <n v="129.99"/>
    <s v="Sarah Connor"/>
    <x v="2"/>
    <n v="779.94"/>
    <n v="509.94000000000005"/>
    <n v="2"/>
    <x v="0"/>
    <b v="0"/>
  </r>
  <r>
    <s v="ORD-24-1009"/>
    <x v="8"/>
    <s v="C-008"/>
    <s v="P-502"/>
    <n v="2"/>
    <d v="2024-01-29T00:00:00"/>
    <x v="3"/>
    <s v="LATE_SORRY"/>
    <s v="Ergo Office Chair"/>
    <x v="1"/>
    <n v="85"/>
    <n v="249.99"/>
    <s v="Ryan Howard"/>
    <x v="1"/>
    <n v="499.98"/>
    <n v="329.98"/>
    <n v="11"/>
    <x v="2"/>
    <b v="0"/>
  </r>
  <r>
    <s v="ORD-24-1010"/>
    <x v="9"/>
    <s v="C-003"/>
    <s v="P-505"/>
    <n v="1"/>
    <d v="2024-01-21T00:00:00"/>
    <x v="1"/>
    <m/>
    <s v="Dual Monitor Arm"/>
    <x v="0"/>
    <n v="25"/>
    <n v="75"/>
    <s v="Emily Blunt"/>
    <x v="1"/>
    <n v="75"/>
    <n v="50"/>
    <n v="1"/>
    <x v="0"/>
    <b v="0"/>
  </r>
  <r>
    <s v="ORD-24-1011"/>
    <x v="10"/>
    <s v="C-009"/>
    <s v="P-500"/>
    <n v="20"/>
    <d v="2024-01-23T00:00:00"/>
    <x v="0"/>
    <s v="BULK_VIP"/>
    <s v="Wireless Mouse X1"/>
    <x v="0"/>
    <n v="12.5"/>
    <n v="39.99"/>
    <s v="Creed Bratton"/>
    <x v="0"/>
    <n v="799.80000000000007"/>
    <n v="549.80000000000007"/>
    <n v="1"/>
    <x v="0"/>
    <b v="0"/>
  </r>
  <r>
    <s v="ORD-24-1012"/>
    <x v="11"/>
    <s v="C-007"/>
    <s v="P-502"/>
    <n v="3"/>
    <d v="2024-02-05T00:00:00"/>
    <x v="2"/>
    <m/>
    <s v="Ergo Office Chair"/>
    <x v="1"/>
    <n v="85"/>
    <n v="249.99"/>
    <s v="Pam Beesly"/>
    <x v="2"/>
    <n v="749.97"/>
    <n v="494.97"/>
    <n v="11"/>
    <x v="1"/>
    <b v="0"/>
  </r>
  <r>
    <s v="ORD-24-1013"/>
    <x v="12"/>
    <s v="C-010"/>
    <s v="P-503"/>
    <n v="2"/>
    <d v="2024-01-28T00:00:00"/>
    <x v="3"/>
    <s v="WELCOME10"/>
    <s v="Oak Standing Desk"/>
    <x v="1"/>
    <n v="160"/>
    <n v="450"/>
    <s v="Stanley Hudson"/>
    <x v="2"/>
    <n v="900"/>
    <n v="580"/>
    <n v="2"/>
    <x v="0"/>
    <b v="1"/>
  </r>
  <r>
    <s v="ORD-24-1014"/>
    <x v="13"/>
    <s v="C-005"/>
    <s v="P-504"/>
    <n v="1"/>
    <d v="2024-02-02T00:00:00"/>
    <x v="0"/>
    <m/>
    <s v="Smart LED Lamp"/>
    <x v="2"/>
    <n v="15"/>
    <n v="45"/>
    <s v="Dwight Schrute"/>
    <x v="2"/>
    <n v="45"/>
    <n v="30"/>
    <n v="5"/>
    <x v="0"/>
    <b v="0"/>
  </r>
  <r>
    <s v="ORD-24-1015"/>
    <x v="14"/>
    <s v="C-001"/>
    <s v="P-501"/>
    <n v="5"/>
    <d v="2024-02-01T00:00:00"/>
    <x v="0"/>
    <s v="FREESHIP"/>
    <s v="Mech Keyboard RGB"/>
    <x v="0"/>
    <n v="45"/>
    <n v="129.99"/>
    <s v="John Smith"/>
    <x v="0"/>
    <n v="649.95000000000005"/>
    <n v="424.95000000000005"/>
    <n v="2"/>
    <x v="0"/>
    <b v="1"/>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r>
    <m/>
    <x v="15"/>
    <m/>
    <m/>
    <m/>
    <m/>
    <x v="4"/>
    <m/>
    <m/>
    <x v="3"/>
    <m/>
    <m/>
    <m/>
    <x v="3"/>
    <m/>
    <m/>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448957-2138-4DE3-A71E-AB788CD7D154}" name="PivotTable3" cacheId="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0:B15" firstHeaderRow="1" firstDataRow="1" firstDataCol="1"/>
  <pivotFields count="19">
    <pivotField showAll="0"/>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items count="6">
        <item x="2"/>
        <item x="0"/>
        <item x="3"/>
        <item x="1"/>
        <item x="4"/>
        <item t="default"/>
      </items>
    </pivotField>
    <pivotField showAll="0"/>
    <pivotField showAll="0"/>
    <pivotField showAll="0">
      <items count="5">
        <item x="0"/>
        <item x="1"/>
        <item x="2"/>
        <item x="3"/>
        <item t="default"/>
      </items>
    </pivotField>
    <pivotField showAll="0"/>
    <pivotField showAll="0"/>
    <pivotField showAll="0"/>
    <pivotField axis="axisRow" showAll="0">
      <items count="5">
        <item x="1"/>
        <item x="0"/>
        <item x="2"/>
        <item x="3"/>
        <item t="default"/>
      </items>
    </pivotField>
    <pivotField dataField="1" showAll="0"/>
    <pivotField showAll="0"/>
    <pivotField showAll="0"/>
    <pivotField showAll="0"/>
    <pivotField showAll="0"/>
  </pivotFields>
  <rowFields count="1">
    <field x="13"/>
  </rowFields>
  <rowItems count="5">
    <i>
      <x/>
    </i>
    <i>
      <x v="1"/>
    </i>
    <i>
      <x v="2"/>
    </i>
    <i>
      <x v="3"/>
    </i>
    <i t="grand">
      <x/>
    </i>
  </rowItems>
  <colItems count="1">
    <i/>
  </colItems>
  <dataFields count="1">
    <dataField name="Sum of Total Revenue" fld="14" baseField="13"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B1DEC7-0105-48F1-B52A-15BC26C8F80D}" name="PivotTable2" cacheId="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E5" firstHeaderRow="1" firstDataRow="1" firstDataCol="1" rowPageCount="1" colPageCount="1"/>
  <pivotFields count="19">
    <pivotField dataField="1" showAll="0"/>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axis="axisRow" showAll="0">
      <items count="6">
        <item x="2"/>
        <item x="0"/>
        <item x="3"/>
        <item x="1"/>
        <item x="4"/>
        <item t="default"/>
      </items>
    </pivotField>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1"/>
        <item h="1" x="0"/>
        <item h="1" x="3"/>
        <item x="2"/>
        <item t="default"/>
      </items>
    </pivotField>
    <pivotField showAll="0"/>
  </pivotFields>
  <rowFields count="1">
    <field x="6"/>
  </rowFields>
  <rowItems count="2">
    <i>
      <x v="2"/>
    </i>
    <i t="grand">
      <x/>
    </i>
  </rowItems>
  <colItems count="1">
    <i/>
  </colItems>
  <pageFields count="1">
    <pageField fld="17" hier="-1"/>
  </pageFields>
  <dataFields count="1">
    <dataField name="Count of Order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49CAA5-CFEA-40AC-8497-7F66E465209C}" name="PivotTable1" cacheId="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8" firstHeaderRow="1" firstDataRow="1" firstDataCol="1"/>
  <pivotFields count="19">
    <pivotField showAll="0"/>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items count="6">
        <item x="2"/>
        <item x="0"/>
        <item x="3"/>
        <item x="1"/>
        <item x="4"/>
        <item t="default"/>
      </items>
    </pivotField>
    <pivotField showAll="0"/>
    <pivotField showAll="0"/>
    <pivotField axis="axisRow" showAll="0">
      <items count="5">
        <item x="0"/>
        <item x="1"/>
        <item x="2"/>
        <item x="3"/>
        <item t="default"/>
      </items>
    </pivotField>
    <pivotField showAll="0"/>
    <pivotField showAll="0"/>
    <pivotField showAll="0"/>
    <pivotField showAll="0">
      <items count="5">
        <item x="1"/>
        <item x="0"/>
        <item x="2"/>
        <item x="3"/>
        <item t="default"/>
      </items>
    </pivotField>
    <pivotField showAll="0"/>
    <pivotField dataField="1" showAll="0"/>
    <pivotField showAll="0"/>
    <pivotField showAll="0"/>
    <pivotField showAll="0"/>
  </pivotFields>
  <rowFields count="1">
    <field x="9"/>
  </rowFields>
  <rowItems count="5">
    <i>
      <x/>
    </i>
    <i>
      <x v="1"/>
    </i>
    <i>
      <x v="2"/>
    </i>
    <i>
      <x v="3"/>
    </i>
    <i t="grand">
      <x/>
    </i>
  </rowItems>
  <colItems count="1">
    <i/>
  </colItems>
  <dataFields count="1">
    <dataField name="Sum of Total Profit" fld="15" baseField="0" baseItem="0" numFmtId="164"/>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D1345F-5044-4F53-AA90-1390EC0F0D89}" sourceName="Region">
  <pivotTables>
    <pivotTable tabId="4" name="PivotTable1"/>
    <pivotTable tabId="4" name="PivotTable2"/>
    <pivotTable tabId="4" name="PivotTable3"/>
  </pivotTables>
  <data>
    <tabular pivotCacheId="169008167">
      <items count="5">
        <i x="2" s="1"/>
        <i x="0" s="1"/>
        <i x="3" s="1"/>
        <i x="1"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2CB25BD-C394-4974-917B-A9ED0B302489}" sourceName="Category">
  <pivotTables>
    <pivotTable tabId="4" name="PivotTable1"/>
  </pivotTables>
  <data>
    <tabular pivotCacheId="169008167">
      <items count="4">
        <i x="0" s="1"/>
        <i x="1"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Tier" xr10:uid="{6DB65792-C40C-4C0E-B032-962D95C5239A}" sourceName="Membership Tier">
  <pivotTables>
    <pivotTable tabId="4" name="PivotTable1"/>
  </pivotTables>
  <data>
    <tabular pivotCacheId="169008167">
      <items count="4">
        <i x="1" s="1"/>
        <i x="0"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AF1411C-C072-4DED-ADEE-EA981D15CFF2}" cache="Slicer_Region" caption="Region" rowHeight="247650"/>
  <slicer name="Category" xr10:uid="{F02097AB-BB12-4752-9026-0C95F8BC5617}" cache="Slicer_Category" caption="Category" rowHeight="247650"/>
  <slicer name="Membership Tier" xr10:uid="{EB1C516E-DDF0-4839-BE1B-857C3788B974}" cache="Slicer_Membership_Tier" caption="Membership Ti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298F12-BCF4-4621-9476-DAB9633AFF00}" name="Table2" displayName="Table2" ref="A1:S16" totalsRowShown="0">
  <autoFilter ref="A1:S16" xr:uid="{13298F12-BCF4-4621-9476-DAB9633AFF00}"/>
  <tableColumns count="19">
    <tableColumn id="1" xr3:uid="{87D972EF-8216-4289-B441-44529FC175BD}" name="OrderID"/>
    <tableColumn id="2" xr3:uid="{58C321F2-E384-483C-BF38-3D8526AB6DA6}" name="Date" dataDxfId="5"/>
    <tableColumn id="3" xr3:uid="{E6ADAE7F-AF69-4D2F-AC6C-E415851278C4}" name="Cust_ID"/>
    <tableColumn id="4" xr3:uid="{54ED0756-355D-4927-B42F-9D183920CA1D}" name="Prod_ID"/>
    <tableColumn id="5" xr3:uid="{D4D2B452-79EE-4BFC-98DC-79FAEC7841CA}" name="Qty"/>
    <tableColumn id="6" xr3:uid="{69F8C0E1-A0BC-42B8-867D-0B051140100B}" name="Ship_Date" dataDxfId="4"/>
    <tableColumn id="7" xr3:uid="{F77F683D-31B9-499F-A23F-80B34D3ED3B0}" name="Region"/>
    <tableColumn id="8" xr3:uid="{B9478285-8CDA-4845-9F60-7134B001DA81}" name="Promo_Code"/>
    <tableColumn id="9" xr3:uid="{5F9AE14B-77AF-40C0-8EE4-31C100F60858}" name="Product Name">
      <calculatedColumnFormula>_xlfn.XLOOKUP(D2,Product_Master!A:A,Product_Master!B:B,"Unknown Item")</calculatedColumnFormula>
    </tableColumn>
    <tableColumn id="10" xr3:uid="{C6DA50E6-47A0-4AE6-8D21-0A373E769925}" name="Category">
      <calculatedColumnFormula>_xlfn.XLOOKUP(D2,Product_Master!A:A,Product_Master!C:C,"Unknown Item")</calculatedColumnFormula>
    </tableColumn>
    <tableColumn id="11" xr3:uid="{4AAE9E7F-EA36-474B-8221-5BB949E900B7}" name="Unit Cost">
      <calculatedColumnFormula>_xlfn.XLOOKUP(D2,Product_Master!A:A,Product_Master!D:D,"Unknown Item")</calculatedColumnFormula>
    </tableColumn>
    <tableColumn id="12" xr3:uid="{14B52300-47E6-4D14-AAAD-D35DA629CBBC}" name="Unit Price">
      <calculatedColumnFormula>_xlfn.XLOOKUP(D2,Product_Master!A:A,Product_Master!E:E,"Unknown Item")</calculatedColumnFormula>
    </tableColumn>
    <tableColumn id="13" xr3:uid="{1C181987-D5EE-4979-A528-4236DE1673A5}" name="Customer Name">
      <calculatedColumnFormula>_xlfn.XLOOKUP(C2,Customer_database!A:A,Customer_database!E:E,"Unknown Customer")</calculatedColumnFormula>
    </tableColumn>
    <tableColumn id="14" xr3:uid="{0579FC74-A373-4746-A20F-A40FAEF0B16D}" name="Membership Tier">
      <calculatedColumnFormula>_xlfn.XLOOKUP(C2,Customer_database!A:A,Customer_database!D:D,"Unknown")</calculatedColumnFormula>
    </tableColumn>
    <tableColumn id="15" xr3:uid="{0C7B251C-1D33-41F4-ADBE-CE765A1D5A2F}" name="Total Revenue" dataDxfId="3" dataCellStyle="Currency">
      <calculatedColumnFormula>E2*L2</calculatedColumnFormula>
    </tableColumn>
    <tableColumn id="16" xr3:uid="{33A4DF61-2BBC-459B-9073-12DB047C53F7}" name="Total Profit" dataDxfId="2">
      <calculatedColumnFormula>(L2-K2)*E2</calculatedColumnFormula>
    </tableColumn>
    <tableColumn id="17" xr3:uid="{BFCBBCAF-BA75-40DA-92AC-10043F7C5541}" name="Days to Ship" dataDxfId="1">
      <calculatedColumnFormula>F2-B2</calculatedColumnFormula>
    </tableColumn>
    <tableColumn id="18" xr3:uid="{A9B4CA21-F4CD-48F4-ADFA-D15936BD06FD}" name="Status" dataDxfId="0">
      <calculatedColumnFormula>IF(AND(Q2&gt;5,OR(G2="North",G2="South")),"CRITICAL DELAY",
IF(Q2&gt;5,"Late","On Time"))</calculatedColumnFormula>
    </tableColumn>
    <tableColumn id="19" xr3:uid="{9CEB62CD-6E36-4F22-8613-52EBA528A658}" name="Promo Valid?">
      <calculatedColumnFormula>OR(H2="WELCOME10",H2="FREESHIP")</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BDACC9-8610-41E0-BA16-544DD9B37476}" name="Table3" displayName="Table3" ref="A1:F8" totalsRowShown="0">
  <autoFilter ref="A1:F8" xr:uid="{8FBDACC9-8610-41E0-BA16-544DD9B37476}"/>
  <tableColumns count="6">
    <tableColumn id="1" xr3:uid="{118D61F6-6A97-4852-9BC7-27B5475B9F8C}" name="Prod_ID"/>
    <tableColumn id="2" xr3:uid="{8C8518D0-0F10-44C1-A740-3BD2C3404B6A}" name="Product_Name"/>
    <tableColumn id="3" xr3:uid="{16160ACE-D7CA-478C-B384-3B0251EFFCAF}" name="Category"/>
    <tableColumn id="4" xr3:uid="{1A8D0D4F-DFDE-4735-BF86-41582155AF65}" name="Unit_Cost"/>
    <tableColumn id="5" xr3:uid="{5C9DD72D-F2DF-43B7-A63E-DC026543F60D}" name="Unit_Price"/>
    <tableColumn id="6" xr3:uid="{559F8E98-E779-4B78-A7CB-197F08CB457D}" name="Suppli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E80BD8-35BD-4AC0-856C-82BD3DB40599}" name="Table1" displayName="Table1" ref="A1:F12" totalsRowShown="0">
  <autoFilter ref="A1:F12" xr:uid="{A1E80BD8-35BD-4AC0-856C-82BD3DB40599}"/>
  <tableColumns count="6">
    <tableColumn id="1" xr3:uid="{9A86569B-0BA4-4DDF-8409-C7F06349A7D1}" name="Column1"/>
    <tableColumn id="2" xr3:uid="{4FB0B448-A952-4055-A6C9-5A8E6B394FAC}" name="Column2"/>
    <tableColumn id="3" xr3:uid="{02E0A5C4-E483-446D-B40D-54E5E111D79D}" name="Column3"/>
    <tableColumn id="4" xr3:uid="{6D281024-4E63-4ABF-9DFE-BD85FE1DD9F6}" name="Column4"/>
    <tableColumn id="5" xr3:uid="{EEA2D83F-806C-4B0E-9662-090BE705F19B}" name="Column5">
      <calculatedColumnFormula>PROPER(TRIM(B2))</calculatedColumnFormula>
    </tableColumn>
    <tableColumn id="6" xr3:uid="{71BF5D13-58A6-451B-8F5D-800B873A0151}" name="Column6">
      <calculatedColumnFormula>RIGHT(C2,LEN(C2)-FIND("@",C2))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49AEC35-D6B8-45ED-8CE0-0E83FF903142}" sourceName="Date">
  <pivotTables>
    <pivotTable tabId="4" name="PivotTable1"/>
    <pivotTable tabId="4" name="PivotTable2"/>
    <pivotTable tabId="4" name="PivotTable3"/>
  </pivotTables>
  <state minimalRefreshVersion="6" lastRefreshVersion="6" pivotCacheId="169008167"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DED1265-9F26-4B50-AEBA-8158E7F90707}" cache="NativeTimeline_Date" caption="Date" level="2" selectionLevel="2" scrollPosition="2024-05-22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E99CB-A459-4B18-ABE6-3C663E870EAF}">
  <dimension ref="A1:E15"/>
  <sheetViews>
    <sheetView tabSelected="1" workbookViewId="0">
      <selection activeCell="A10" sqref="A10"/>
    </sheetView>
  </sheetViews>
  <sheetFormatPr defaultRowHeight="14.4" x14ac:dyDescent="0.3"/>
  <cols>
    <col min="1" max="1" width="12.44140625" bestFit="1" customWidth="1"/>
    <col min="2" max="2" width="16.109375" bestFit="1" customWidth="1"/>
    <col min="4" max="4" width="12.44140625" bestFit="1" customWidth="1"/>
    <col min="5" max="5" width="16.21875" bestFit="1" customWidth="1"/>
  </cols>
  <sheetData>
    <row r="1" spans="1:5" x14ac:dyDescent="0.3">
      <c r="D1" s="5" t="s">
        <v>113</v>
      </c>
      <c r="E1" t="s">
        <v>120</v>
      </c>
    </row>
    <row r="3" spans="1:5" x14ac:dyDescent="0.3">
      <c r="A3" s="5" t="s">
        <v>115</v>
      </c>
      <c r="B3" t="s">
        <v>118</v>
      </c>
      <c r="D3" s="5" t="s">
        <v>115</v>
      </c>
      <c r="E3" t="s">
        <v>119</v>
      </c>
    </row>
    <row r="4" spans="1:5" x14ac:dyDescent="0.3">
      <c r="A4" s="6" t="s">
        <v>54</v>
      </c>
      <c r="B4" s="3">
        <v>2649.5300000000007</v>
      </c>
      <c r="D4" s="6" t="s">
        <v>30</v>
      </c>
      <c r="E4" s="7">
        <v>2</v>
      </c>
    </row>
    <row r="5" spans="1:5" x14ac:dyDescent="0.3">
      <c r="A5" s="6" t="s">
        <v>59</v>
      </c>
      <c r="B5" s="3">
        <v>2439.94</v>
      </c>
      <c r="D5" s="6" t="s">
        <v>117</v>
      </c>
      <c r="E5" s="7">
        <v>2</v>
      </c>
    </row>
    <row r="6" spans="1:5" x14ac:dyDescent="0.3">
      <c r="A6" s="6" t="s">
        <v>64</v>
      </c>
      <c r="B6" s="3">
        <v>150</v>
      </c>
    </row>
    <row r="7" spans="1:5" x14ac:dyDescent="0.3">
      <c r="A7" s="6" t="s">
        <v>116</v>
      </c>
      <c r="B7" s="3"/>
    </row>
    <row r="8" spans="1:5" x14ac:dyDescent="0.3">
      <c r="A8" s="6" t="s">
        <v>117</v>
      </c>
      <c r="B8" s="3">
        <v>5239.4700000000012</v>
      </c>
    </row>
    <row r="10" spans="1:5" x14ac:dyDescent="0.3">
      <c r="A10" s="5" t="s">
        <v>115</v>
      </c>
      <c r="B10" t="s">
        <v>121</v>
      </c>
    </row>
    <row r="11" spans="1:5" x14ac:dyDescent="0.3">
      <c r="A11" s="6" t="s">
        <v>82</v>
      </c>
      <c r="B11" s="3">
        <v>1004.97</v>
      </c>
    </row>
    <row r="12" spans="1:5" x14ac:dyDescent="0.3">
      <c r="A12" s="6" t="s">
        <v>76</v>
      </c>
      <c r="B12" s="3">
        <v>3039.6900000000005</v>
      </c>
    </row>
    <row r="13" spans="1:5" x14ac:dyDescent="0.3">
      <c r="A13" s="6" t="s">
        <v>79</v>
      </c>
      <c r="B13" s="3">
        <v>3924.8100000000004</v>
      </c>
    </row>
    <row r="14" spans="1:5" x14ac:dyDescent="0.3">
      <c r="A14" s="6" t="s">
        <v>116</v>
      </c>
      <c r="B14" s="3"/>
    </row>
    <row r="15" spans="1:5" x14ac:dyDescent="0.3">
      <c r="A15" s="6" t="s">
        <v>117</v>
      </c>
      <c r="B15" s="3">
        <v>7969.4700000000012</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0486A-375D-446D-84B4-B39A07F1A676}">
  <dimension ref="A1:S46"/>
  <sheetViews>
    <sheetView topLeftCell="E1" workbookViewId="0">
      <selection activeCell="R2" sqref="R2:R16"/>
    </sheetView>
  </sheetViews>
  <sheetFormatPr defaultRowHeight="14.4" x14ac:dyDescent="0.3"/>
  <cols>
    <col min="1" max="1" width="12" bestFit="1" customWidth="1"/>
    <col min="2" max="2" width="9.33203125" bestFit="1" customWidth="1"/>
    <col min="3" max="3" width="9.21875" customWidth="1"/>
    <col min="4" max="4" width="9.33203125" customWidth="1"/>
    <col min="5" max="5" width="5.77734375" customWidth="1"/>
    <col min="6" max="6" width="11.33203125" customWidth="1"/>
    <col min="7" max="7" width="8.44140625" customWidth="1"/>
    <col min="8" max="8" width="13.44140625" customWidth="1"/>
    <col min="9" max="9" width="17.33203125" customWidth="1"/>
    <col min="10" max="10" width="11.109375" bestFit="1" customWidth="1"/>
    <col min="11" max="11" width="10.44140625" customWidth="1"/>
    <col min="12" max="12" width="11" customWidth="1"/>
    <col min="13" max="13" width="16.33203125" customWidth="1"/>
    <col min="14" max="14" width="16.77734375" customWidth="1"/>
    <col min="15" max="15" width="14.33203125" style="2" customWidth="1"/>
    <col min="16" max="16" width="11.88671875" customWidth="1"/>
    <col min="17" max="17" width="13" customWidth="1"/>
    <col min="18" max="18" width="8.21875" customWidth="1"/>
    <col min="19" max="19" width="13.88671875" customWidth="1"/>
  </cols>
  <sheetData>
    <row r="1" spans="1:19" x14ac:dyDescent="0.3">
      <c r="A1" t="s">
        <v>0</v>
      </c>
      <c r="B1" t="s">
        <v>1</v>
      </c>
      <c r="C1" t="s">
        <v>2</v>
      </c>
      <c r="D1" t="s">
        <v>3</v>
      </c>
      <c r="E1" t="s">
        <v>4</v>
      </c>
      <c r="F1" t="s">
        <v>5</v>
      </c>
      <c r="G1" t="s">
        <v>6</v>
      </c>
      <c r="H1" t="s">
        <v>7</v>
      </c>
      <c r="I1" t="s">
        <v>105</v>
      </c>
      <c r="J1" t="s">
        <v>49</v>
      </c>
      <c r="K1" t="s">
        <v>106</v>
      </c>
      <c r="L1" t="s">
        <v>107</v>
      </c>
      <c r="M1" t="s">
        <v>108</v>
      </c>
      <c r="N1" t="s">
        <v>109</v>
      </c>
      <c r="O1" s="2" t="s">
        <v>110</v>
      </c>
      <c r="P1" t="s">
        <v>111</v>
      </c>
      <c r="Q1" t="s">
        <v>112</v>
      </c>
      <c r="R1" t="s">
        <v>113</v>
      </c>
      <c r="S1" t="s">
        <v>114</v>
      </c>
    </row>
    <row r="2" spans="1:19" x14ac:dyDescent="0.3">
      <c r="A2" t="s">
        <v>8</v>
      </c>
      <c r="B2" s="1">
        <v>45294</v>
      </c>
      <c r="C2" t="s">
        <v>9</v>
      </c>
      <c r="D2" t="s">
        <v>10</v>
      </c>
      <c r="E2">
        <v>5</v>
      </c>
      <c r="F2" s="1">
        <v>45296</v>
      </c>
      <c r="G2" t="s">
        <v>11</v>
      </c>
      <c r="H2" t="s">
        <v>12</v>
      </c>
      <c r="I2" t="str">
        <f>_xlfn.XLOOKUP(D2,Product_Master!A:A,Product_Master!B:B,"Unknown Item")</f>
        <v>Wireless Mouse X1</v>
      </c>
      <c r="J2" t="str">
        <f>_xlfn.XLOOKUP(D2,Product_Master!A:A,Product_Master!C:C,"Unknown Item")</f>
        <v>Electronics</v>
      </c>
      <c r="K2">
        <f>_xlfn.XLOOKUP(D2,Product_Master!A:A,Product_Master!D:D,"Unknown Item")</f>
        <v>12.5</v>
      </c>
      <c r="L2">
        <f>_xlfn.XLOOKUP(D2,Product_Master!A:A,Product_Master!E:E,"Unknown Item")</f>
        <v>39.99</v>
      </c>
      <c r="M2" t="str">
        <f>_xlfn.XLOOKUP(C2,Customer_database!A:A,Customer_database!E:E,"Unknown Customer")</f>
        <v>John Smith</v>
      </c>
      <c r="N2" t="str">
        <f>_xlfn.XLOOKUP(C2,Customer_database!A:A,Customer_database!D:D,"Unknown")</f>
        <v>Gold</v>
      </c>
      <c r="O2" s="2">
        <f>E2*L2</f>
        <v>199.95000000000002</v>
      </c>
      <c r="P2" s="3">
        <f>(L2-K2)*E2</f>
        <v>137.45000000000002</v>
      </c>
      <c r="Q2" s="4">
        <f>F2-B2</f>
        <v>2</v>
      </c>
      <c r="R2" t="str">
        <f t="shared" ref="R2:R16" si="0">IF(AND(Q2&gt;5,OR(G2="North",G2="South")),"CRITICAL DELAY",
IF(Q2&gt;5,"Late","On Time"))</f>
        <v>On Time</v>
      </c>
      <c r="S2" t="b">
        <f>OR(H2="WELCOME10",H2="FREESHIP")</f>
        <v>1</v>
      </c>
    </row>
    <row r="3" spans="1:19" x14ac:dyDescent="0.3">
      <c r="A3" t="s">
        <v>13</v>
      </c>
      <c r="B3" s="1">
        <v>45295</v>
      </c>
      <c r="C3" t="s">
        <v>14</v>
      </c>
      <c r="D3" t="s">
        <v>15</v>
      </c>
      <c r="E3">
        <v>1</v>
      </c>
      <c r="F3" s="1">
        <v>45299</v>
      </c>
      <c r="G3" t="s">
        <v>16</v>
      </c>
      <c r="I3" t="str">
        <f>_xlfn.XLOOKUP(D3,Product_Master!A:A,Product_Master!B:B,"Unknown Item")</f>
        <v>Ergo Office Chair</v>
      </c>
      <c r="J3" t="str">
        <f>_xlfn.XLOOKUP(D3,Product_Master!A:A,Product_Master!C:C,"Unknown Item")</f>
        <v>Furniture</v>
      </c>
      <c r="K3">
        <f>_xlfn.XLOOKUP(D3,Product_Master!A:A,Product_Master!D:D,"Unknown Item")</f>
        <v>85</v>
      </c>
      <c r="L3">
        <f>_xlfn.XLOOKUP(D3,Product_Master!A:A,Product_Master!E:E,"Unknown Item")</f>
        <v>249.99</v>
      </c>
      <c r="M3" t="str">
        <f>_xlfn.XLOOKUP(C3,Customer_database!A:A,Customer_database!E:E,"Unknown Customer")</f>
        <v>Emily Blunt</v>
      </c>
      <c r="N3" t="str">
        <f>_xlfn.XLOOKUP(C3,Customer_database!A:A,Customer_database!D:D,"Unknown")</f>
        <v>Bronze</v>
      </c>
      <c r="O3" s="2">
        <f>E3*L3</f>
        <v>249.99</v>
      </c>
      <c r="P3" s="3">
        <f>(L3-K3)*E3</f>
        <v>164.99</v>
      </c>
      <c r="Q3" s="4">
        <f>F3-B3</f>
        <v>4</v>
      </c>
      <c r="R3" t="str">
        <f t="shared" si="0"/>
        <v>On Time</v>
      </c>
      <c r="S3" t="b">
        <f>OR(H3="WELCOME10",H3="FREESHIP")</f>
        <v>0</v>
      </c>
    </row>
    <row r="4" spans="1:19" x14ac:dyDescent="0.3">
      <c r="A4" t="s">
        <v>17</v>
      </c>
      <c r="B4" s="1">
        <v>45297</v>
      </c>
      <c r="C4" t="s">
        <v>18</v>
      </c>
      <c r="D4" t="s">
        <v>19</v>
      </c>
      <c r="E4">
        <v>10</v>
      </c>
      <c r="F4" s="1">
        <v>45305</v>
      </c>
      <c r="G4" t="s">
        <v>20</v>
      </c>
      <c r="H4" t="s">
        <v>21</v>
      </c>
      <c r="I4" t="str">
        <f>_xlfn.XLOOKUP(D4,Product_Master!A:A,Product_Master!B:B,"Unknown Item")</f>
        <v>Mech Keyboard RGB</v>
      </c>
      <c r="J4" t="str">
        <f>_xlfn.XLOOKUP(D4,Product_Master!A:A,Product_Master!C:C,"Unknown Item")</f>
        <v>Electronics</v>
      </c>
      <c r="K4">
        <f>_xlfn.XLOOKUP(D4,Product_Master!A:A,Product_Master!D:D,"Unknown Item")</f>
        <v>45</v>
      </c>
      <c r="L4">
        <f>_xlfn.XLOOKUP(D4,Product_Master!A:A,Product_Master!E:E,"Unknown Item")</f>
        <v>129.99</v>
      </c>
      <c r="M4" t="str">
        <f>_xlfn.XLOOKUP(C4,Customer_database!A:A,Customer_database!E:E,"Unknown Customer")</f>
        <v>Sarah Connor</v>
      </c>
      <c r="N4" t="str">
        <f>_xlfn.XLOOKUP(C4,Customer_database!A:A,Customer_database!D:D,"Unknown")</f>
        <v>Silver</v>
      </c>
      <c r="O4" s="2">
        <f>E4*L4</f>
        <v>1299.9000000000001</v>
      </c>
      <c r="P4" s="3">
        <f>(L4-K4)*E4</f>
        <v>849.90000000000009</v>
      </c>
      <c r="Q4" s="4">
        <f>F4-B4</f>
        <v>8</v>
      </c>
      <c r="R4" t="str">
        <f t="shared" si="0"/>
        <v>Late</v>
      </c>
      <c r="S4" t="b">
        <f>OR(H4="WELCOME10",H4="FREESHIP")</f>
        <v>0</v>
      </c>
    </row>
    <row r="5" spans="1:19" x14ac:dyDescent="0.3">
      <c r="A5" t="s">
        <v>22</v>
      </c>
      <c r="B5" s="1">
        <v>45299</v>
      </c>
      <c r="C5" t="s">
        <v>23</v>
      </c>
      <c r="D5" t="s">
        <v>24</v>
      </c>
      <c r="E5">
        <v>2</v>
      </c>
      <c r="F5" s="1">
        <v>45300</v>
      </c>
      <c r="G5" t="s">
        <v>11</v>
      </c>
      <c r="I5" t="str">
        <f>_xlfn.XLOOKUP(D5,Product_Master!A:A,Product_Master!B:B,"Unknown Item")</f>
        <v>Dual Monitor Arm</v>
      </c>
      <c r="J5" t="str">
        <f>_xlfn.XLOOKUP(D5,Product_Master!A:A,Product_Master!C:C,"Unknown Item")</f>
        <v>Electronics</v>
      </c>
      <c r="K5">
        <f>_xlfn.XLOOKUP(D5,Product_Master!A:A,Product_Master!D:D,"Unknown Item")</f>
        <v>25</v>
      </c>
      <c r="L5">
        <f>_xlfn.XLOOKUP(D5,Product_Master!A:A,Product_Master!E:E,"Unknown Item")</f>
        <v>75</v>
      </c>
      <c r="M5" t="str">
        <f>_xlfn.XLOOKUP(C5,Customer_database!A:A,Customer_database!E:E,"Unknown Customer")</f>
        <v>Dwight Schrute</v>
      </c>
      <c r="N5" t="str">
        <f>_xlfn.XLOOKUP(C5,Customer_database!A:A,Customer_database!D:D,"Unknown")</f>
        <v>Silver</v>
      </c>
      <c r="O5" s="2">
        <f>E5*L5</f>
        <v>150</v>
      </c>
      <c r="P5" s="3">
        <f>(L5-K5)*E5</f>
        <v>100</v>
      </c>
      <c r="Q5" s="4">
        <f>F5-B5</f>
        <v>1</v>
      </c>
      <c r="R5" t="str">
        <f t="shared" si="0"/>
        <v>On Time</v>
      </c>
      <c r="S5" t="b">
        <f>OR(H5="WELCOME10",H5="FREESHIP")</f>
        <v>0</v>
      </c>
    </row>
    <row r="6" spans="1:19" x14ac:dyDescent="0.3">
      <c r="A6" t="s">
        <v>25</v>
      </c>
      <c r="B6" s="1">
        <v>45301</v>
      </c>
      <c r="C6" t="s">
        <v>9</v>
      </c>
      <c r="D6" t="s">
        <v>10</v>
      </c>
      <c r="E6">
        <v>1</v>
      </c>
      <c r="F6" s="1">
        <v>45303</v>
      </c>
      <c r="G6" t="s">
        <v>11</v>
      </c>
      <c r="H6" t="s">
        <v>26</v>
      </c>
      <c r="I6" t="str">
        <f>_xlfn.XLOOKUP(D6,Product_Master!A:A,Product_Master!B:B,"Unknown Item")</f>
        <v>Wireless Mouse X1</v>
      </c>
      <c r="J6" t="str">
        <f>_xlfn.XLOOKUP(D6,Product_Master!A:A,Product_Master!C:C,"Unknown Item")</f>
        <v>Electronics</v>
      </c>
      <c r="K6">
        <f>_xlfn.XLOOKUP(D6,Product_Master!A:A,Product_Master!D:D,"Unknown Item")</f>
        <v>12.5</v>
      </c>
      <c r="L6">
        <f>_xlfn.XLOOKUP(D6,Product_Master!A:A,Product_Master!E:E,"Unknown Item")</f>
        <v>39.99</v>
      </c>
      <c r="M6" t="str">
        <f>_xlfn.XLOOKUP(C6,Customer_database!A:A,Customer_database!E:E,"Unknown Customer")</f>
        <v>John Smith</v>
      </c>
      <c r="N6" t="str">
        <f>_xlfn.XLOOKUP(C6,Customer_database!A:A,Customer_database!D:D,"Unknown")</f>
        <v>Gold</v>
      </c>
      <c r="O6" s="2">
        <f>E6*L6</f>
        <v>39.99</v>
      </c>
      <c r="P6" s="3">
        <f>(L6-K6)*E6</f>
        <v>27.490000000000002</v>
      </c>
      <c r="Q6" s="4">
        <f>F6-B6</f>
        <v>2</v>
      </c>
      <c r="R6" t="str">
        <f t="shared" si="0"/>
        <v>On Time</v>
      </c>
      <c r="S6" t="b">
        <f>OR(H6="WELCOME10",H6="FREESHIP")</f>
        <v>1</v>
      </c>
    </row>
    <row r="7" spans="1:19" x14ac:dyDescent="0.3">
      <c r="A7" t="s">
        <v>27</v>
      </c>
      <c r="B7" s="1">
        <v>45303</v>
      </c>
      <c r="C7" t="s">
        <v>28</v>
      </c>
      <c r="D7" t="s">
        <v>29</v>
      </c>
      <c r="E7">
        <v>3</v>
      </c>
      <c r="F7" s="1">
        <v>45310</v>
      </c>
      <c r="G7" t="s">
        <v>30</v>
      </c>
      <c r="H7" t="s">
        <v>12</v>
      </c>
      <c r="I7" t="str">
        <f>_xlfn.XLOOKUP(D7,Product_Master!A:A,Product_Master!B:B,"Unknown Item")</f>
        <v>Oak Standing Desk</v>
      </c>
      <c r="J7" t="str">
        <f>_xlfn.XLOOKUP(D7,Product_Master!A:A,Product_Master!C:C,"Unknown Item")</f>
        <v>Furniture</v>
      </c>
      <c r="K7">
        <f>_xlfn.XLOOKUP(D7,Product_Master!A:A,Product_Master!D:D,"Unknown Item")</f>
        <v>160</v>
      </c>
      <c r="L7">
        <f>_xlfn.XLOOKUP(D7,Product_Master!A:A,Product_Master!E:E,"Unknown Item")</f>
        <v>450</v>
      </c>
      <c r="M7" t="str">
        <f>_xlfn.XLOOKUP(C7,Customer_database!A:A,Customer_database!E:E,"Unknown Customer")</f>
        <v>Michael Scott</v>
      </c>
      <c r="N7" t="str">
        <f>_xlfn.XLOOKUP(C7,Customer_database!A:A,Customer_database!D:D,"Unknown")</f>
        <v>Gold</v>
      </c>
      <c r="O7" s="2">
        <f>E7*L7</f>
        <v>1350</v>
      </c>
      <c r="P7" s="3">
        <f>(L7-K7)*E7</f>
        <v>870</v>
      </c>
      <c r="Q7" s="4">
        <f>F7-B7</f>
        <v>7</v>
      </c>
      <c r="R7" t="str">
        <f t="shared" si="0"/>
        <v>CRITICAL DELAY</v>
      </c>
      <c r="S7" t="b">
        <f>OR(H7="WELCOME10",H7="FREESHIP")</f>
        <v>1</v>
      </c>
    </row>
    <row r="8" spans="1:19" x14ac:dyDescent="0.3">
      <c r="A8" t="s">
        <v>31</v>
      </c>
      <c r="B8" s="1">
        <v>45306</v>
      </c>
      <c r="C8" t="s">
        <v>32</v>
      </c>
      <c r="D8" t="s">
        <v>33</v>
      </c>
      <c r="E8">
        <v>4</v>
      </c>
      <c r="F8" s="1">
        <v>45313</v>
      </c>
      <c r="G8" t="s">
        <v>16</v>
      </c>
      <c r="I8" t="str">
        <f>_xlfn.XLOOKUP(D8,Product_Master!A:A,Product_Master!B:B,"Unknown Item")</f>
        <v>Smart LED Lamp</v>
      </c>
      <c r="J8" t="str">
        <f>_xlfn.XLOOKUP(D8,Product_Master!A:A,Product_Master!C:C,"Unknown Item")</f>
        <v>Home Decor</v>
      </c>
      <c r="K8">
        <f>_xlfn.XLOOKUP(D8,Product_Master!A:A,Product_Master!D:D,"Unknown Item")</f>
        <v>15</v>
      </c>
      <c r="L8">
        <f>_xlfn.XLOOKUP(D8,Product_Master!A:A,Product_Master!E:E,"Unknown Item")</f>
        <v>45</v>
      </c>
      <c r="M8" t="str">
        <f>_xlfn.XLOOKUP(C8,Customer_database!A:A,Customer_database!E:E,"Unknown Customer")</f>
        <v>Jim Halpert</v>
      </c>
      <c r="N8" t="str">
        <f>_xlfn.XLOOKUP(C8,Customer_database!A:A,Customer_database!D:D,"Unknown")</f>
        <v>Bronze</v>
      </c>
      <c r="O8" s="2">
        <f>E8*L8</f>
        <v>180</v>
      </c>
      <c r="P8" s="3">
        <f>(L8-K8)*E8</f>
        <v>120</v>
      </c>
      <c r="Q8" s="4">
        <f>F8-B8</f>
        <v>7</v>
      </c>
      <c r="R8" t="str">
        <f t="shared" si="0"/>
        <v>Late</v>
      </c>
      <c r="S8" t="b">
        <f>OR(H8="WELCOME10",H8="FREESHIP")</f>
        <v>0</v>
      </c>
    </row>
    <row r="9" spans="1:19" x14ac:dyDescent="0.3">
      <c r="A9" t="s">
        <v>34</v>
      </c>
      <c r="B9" s="1">
        <v>45307</v>
      </c>
      <c r="C9" t="s">
        <v>18</v>
      </c>
      <c r="D9" t="s">
        <v>19</v>
      </c>
      <c r="E9">
        <v>6</v>
      </c>
      <c r="F9" s="1">
        <v>45309</v>
      </c>
      <c r="G9" t="s">
        <v>20</v>
      </c>
      <c r="I9" t="str">
        <f>_xlfn.XLOOKUP(D9,Product_Master!A:A,Product_Master!B:B,"Unknown Item")</f>
        <v>Mech Keyboard RGB</v>
      </c>
      <c r="J9" t="str">
        <f>_xlfn.XLOOKUP(D9,Product_Master!A:A,Product_Master!C:C,"Unknown Item")</f>
        <v>Electronics</v>
      </c>
      <c r="K9">
        <f>_xlfn.XLOOKUP(D9,Product_Master!A:A,Product_Master!D:D,"Unknown Item")</f>
        <v>45</v>
      </c>
      <c r="L9">
        <f>_xlfn.XLOOKUP(D9,Product_Master!A:A,Product_Master!E:E,"Unknown Item")</f>
        <v>129.99</v>
      </c>
      <c r="M9" t="str">
        <f>_xlfn.XLOOKUP(C9,Customer_database!A:A,Customer_database!E:E,"Unknown Customer")</f>
        <v>Sarah Connor</v>
      </c>
      <c r="N9" t="str">
        <f>_xlfn.XLOOKUP(C9,Customer_database!A:A,Customer_database!D:D,"Unknown")</f>
        <v>Silver</v>
      </c>
      <c r="O9" s="2">
        <f>E9*L9</f>
        <v>779.94</v>
      </c>
      <c r="P9" s="3">
        <f>(L9-K9)*E9</f>
        <v>509.94000000000005</v>
      </c>
      <c r="Q9" s="4">
        <f>F9-B9</f>
        <v>2</v>
      </c>
      <c r="R9" t="str">
        <f t="shared" si="0"/>
        <v>On Time</v>
      </c>
      <c r="S9" t="b">
        <f>OR(H9="WELCOME10",H9="FREESHIP")</f>
        <v>0</v>
      </c>
    </row>
    <row r="10" spans="1:19" x14ac:dyDescent="0.3">
      <c r="A10" t="s">
        <v>35</v>
      </c>
      <c r="B10" s="1">
        <v>45309</v>
      </c>
      <c r="C10" t="s">
        <v>36</v>
      </c>
      <c r="D10" t="s">
        <v>15</v>
      </c>
      <c r="E10">
        <v>2</v>
      </c>
      <c r="F10" s="1">
        <v>45320</v>
      </c>
      <c r="G10" t="s">
        <v>30</v>
      </c>
      <c r="H10" t="s">
        <v>37</v>
      </c>
      <c r="I10" t="str">
        <f>_xlfn.XLOOKUP(D10,Product_Master!A:A,Product_Master!B:B,"Unknown Item")</f>
        <v>Ergo Office Chair</v>
      </c>
      <c r="J10" t="str">
        <f>_xlfn.XLOOKUP(D10,Product_Master!A:A,Product_Master!C:C,"Unknown Item")</f>
        <v>Furniture</v>
      </c>
      <c r="K10">
        <f>_xlfn.XLOOKUP(D10,Product_Master!A:A,Product_Master!D:D,"Unknown Item")</f>
        <v>85</v>
      </c>
      <c r="L10">
        <f>_xlfn.XLOOKUP(D10,Product_Master!A:A,Product_Master!E:E,"Unknown Item")</f>
        <v>249.99</v>
      </c>
      <c r="M10" t="str">
        <f>_xlfn.XLOOKUP(C10,Customer_database!A:A,Customer_database!E:E,"Unknown Customer")</f>
        <v>Ryan Howard</v>
      </c>
      <c r="N10" t="str">
        <f>_xlfn.XLOOKUP(C10,Customer_database!A:A,Customer_database!D:D,"Unknown")</f>
        <v>Bronze</v>
      </c>
      <c r="O10" s="2">
        <f>E10*L10</f>
        <v>499.98</v>
      </c>
      <c r="P10" s="3">
        <f>(L10-K10)*E10</f>
        <v>329.98</v>
      </c>
      <c r="Q10" s="4">
        <f>F10-B10</f>
        <v>11</v>
      </c>
      <c r="R10" t="str">
        <f t="shared" si="0"/>
        <v>CRITICAL DELAY</v>
      </c>
      <c r="S10" t="b">
        <f>OR(H10="WELCOME10",H10="FREESHIP")</f>
        <v>0</v>
      </c>
    </row>
    <row r="11" spans="1:19" x14ac:dyDescent="0.3">
      <c r="A11" t="s">
        <v>38</v>
      </c>
      <c r="B11" s="1">
        <v>45311</v>
      </c>
      <c r="C11" t="s">
        <v>14</v>
      </c>
      <c r="D11" t="s">
        <v>24</v>
      </c>
      <c r="E11">
        <v>1</v>
      </c>
      <c r="F11" s="1">
        <v>45312</v>
      </c>
      <c r="G11" t="s">
        <v>16</v>
      </c>
      <c r="I11" t="str">
        <f>_xlfn.XLOOKUP(D11,Product_Master!A:A,Product_Master!B:B,"Unknown Item")</f>
        <v>Dual Monitor Arm</v>
      </c>
      <c r="J11" t="str">
        <f>_xlfn.XLOOKUP(D11,Product_Master!A:A,Product_Master!C:C,"Unknown Item")</f>
        <v>Electronics</v>
      </c>
      <c r="K11">
        <f>_xlfn.XLOOKUP(D11,Product_Master!A:A,Product_Master!D:D,"Unknown Item")</f>
        <v>25</v>
      </c>
      <c r="L11">
        <f>_xlfn.XLOOKUP(D11,Product_Master!A:A,Product_Master!E:E,"Unknown Item")</f>
        <v>75</v>
      </c>
      <c r="M11" t="str">
        <f>_xlfn.XLOOKUP(C11,Customer_database!A:A,Customer_database!E:E,"Unknown Customer")</f>
        <v>Emily Blunt</v>
      </c>
      <c r="N11" t="str">
        <f>_xlfn.XLOOKUP(C11,Customer_database!A:A,Customer_database!D:D,"Unknown")</f>
        <v>Bronze</v>
      </c>
      <c r="O11" s="2">
        <f>E11*L11</f>
        <v>75</v>
      </c>
      <c r="P11" s="3">
        <f>(L11-K11)*E11</f>
        <v>50</v>
      </c>
      <c r="Q11" s="4">
        <f>F11-B11</f>
        <v>1</v>
      </c>
      <c r="R11" t="str">
        <f t="shared" si="0"/>
        <v>On Time</v>
      </c>
      <c r="S11" t="b">
        <f>OR(H11="WELCOME10",H11="FREESHIP")</f>
        <v>0</v>
      </c>
    </row>
    <row r="12" spans="1:19" x14ac:dyDescent="0.3">
      <c r="A12" t="s">
        <v>39</v>
      </c>
      <c r="B12" s="1">
        <v>45313</v>
      </c>
      <c r="C12" t="s">
        <v>40</v>
      </c>
      <c r="D12" t="s">
        <v>10</v>
      </c>
      <c r="E12">
        <v>20</v>
      </c>
      <c r="F12" s="1">
        <v>45314</v>
      </c>
      <c r="G12" t="s">
        <v>11</v>
      </c>
      <c r="H12" t="s">
        <v>41</v>
      </c>
      <c r="I12" t="str">
        <f>_xlfn.XLOOKUP(D12,Product_Master!A:A,Product_Master!B:B,"Unknown Item")</f>
        <v>Wireless Mouse X1</v>
      </c>
      <c r="J12" t="str">
        <f>_xlfn.XLOOKUP(D12,Product_Master!A:A,Product_Master!C:C,"Unknown Item")</f>
        <v>Electronics</v>
      </c>
      <c r="K12">
        <f>_xlfn.XLOOKUP(D12,Product_Master!A:A,Product_Master!D:D,"Unknown Item")</f>
        <v>12.5</v>
      </c>
      <c r="L12">
        <f>_xlfn.XLOOKUP(D12,Product_Master!A:A,Product_Master!E:E,"Unknown Item")</f>
        <v>39.99</v>
      </c>
      <c r="M12" t="str">
        <f>_xlfn.XLOOKUP(C12,Customer_database!A:A,Customer_database!E:E,"Unknown Customer")</f>
        <v>Creed Bratton</v>
      </c>
      <c r="N12" t="str">
        <f>_xlfn.XLOOKUP(C12,Customer_database!A:A,Customer_database!D:D,"Unknown")</f>
        <v>Gold</v>
      </c>
      <c r="O12" s="2">
        <f>E12*L12</f>
        <v>799.80000000000007</v>
      </c>
      <c r="P12" s="3">
        <f>(L12-K12)*E12</f>
        <v>549.80000000000007</v>
      </c>
      <c r="Q12" s="4">
        <f>F12-B12</f>
        <v>1</v>
      </c>
      <c r="R12" t="str">
        <f t="shared" si="0"/>
        <v>On Time</v>
      </c>
      <c r="S12" t="b">
        <f>OR(H12="WELCOME10",H12="FREESHIP")</f>
        <v>0</v>
      </c>
    </row>
    <row r="13" spans="1:19" x14ac:dyDescent="0.3">
      <c r="A13" t="s">
        <v>42</v>
      </c>
      <c r="B13" s="1">
        <v>45316</v>
      </c>
      <c r="C13" t="s">
        <v>43</v>
      </c>
      <c r="D13" t="s">
        <v>15</v>
      </c>
      <c r="E13">
        <v>3</v>
      </c>
      <c r="F13" s="1">
        <v>45327</v>
      </c>
      <c r="G13" t="s">
        <v>20</v>
      </c>
      <c r="I13" t="str">
        <f>_xlfn.XLOOKUP(D13,Product_Master!A:A,Product_Master!B:B,"Unknown Item")</f>
        <v>Ergo Office Chair</v>
      </c>
      <c r="J13" t="str">
        <f>_xlfn.XLOOKUP(D13,Product_Master!A:A,Product_Master!C:C,"Unknown Item")</f>
        <v>Furniture</v>
      </c>
      <c r="K13">
        <f>_xlfn.XLOOKUP(D13,Product_Master!A:A,Product_Master!D:D,"Unknown Item")</f>
        <v>85</v>
      </c>
      <c r="L13">
        <f>_xlfn.XLOOKUP(D13,Product_Master!A:A,Product_Master!E:E,"Unknown Item")</f>
        <v>249.99</v>
      </c>
      <c r="M13" t="str">
        <f>_xlfn.XLOOKUP(C13,Customer_database!A:A,Customer_database!E:E,"Unknown Customer")</f>
        <v>Pam Beesly</v>
      </c>
      <c r="N13" t="str">
        <f>_xlfn.XLOOKUP(C13,Customer_database!A:A,Customer_database!D:D,"Unknown")</f>
        <v>Silver</v>
      </c>
      <c r="O13" s="2">
        <f>E13*L13</f>
        <v>749.97</v>
      </c>
      <c r="P13" s="3">
        <f>(L13-K13)*E13</f>
        <v>494.97</v>
      </c>
      <c r="Q13" s="4">
        <f>F13-B13</f>
        <v>11</v>
      </c>
      <c r="R13" t="str">
        <f t="shared" si="0"/>
        <v>Late</v>
      </c>
      <c r="S13" t="b">
        <f>OR(H13="WELCOME10",H13="FREESHIP")</f>
        <v>0</v>
      </c>
    </row>
    <row r="14" spans="1:19" x14ac:dyDescent="0.3">
      <c r="A14" t="s">
        <v>44</v>
      </c>
      <c r="B14" s="1">
        <v>45317</v>
      </c>
      <c r="C14" t="s">
        <v>45</v>
      </c>
      <c r="D14" t="s">
        <v>29</v>
      </c>
      <c r="E14">
        <v>2</v>
      </c>
      <c r="F14" s="1">
        <v>45319</v>
      </c>
      <c r="G14" t="s">
        <v>30</v>
      </c>
      <c r="H14" t="s">
        <v>12</v>
      </c>
      <c r="I14" t="str">
        <f>_xlfn.XLOOKUP(D14,Product_Master!A:A,Product_Master!B:B,"Unknown Item")</f>
        <v>Oak Standing Desk</v>
      </c>
      <c r="J14" t="str">
        <f>_xlfn.XLOOKUP(D14,Product_Master!A:A,Product_Master!C:C,"Unknown Item")</f>
        <v>Furniture</v>
      </c>
      <c r="K14">
        <f>_xlfn.XLOOKUP(D14,Product_Master!A:A,Product_Master!D:D,"Unknown Item")</f>
        <v>160</v>
      </c>
      <c r="L14">
        <f>_xlfn.XLOOKUP(D14,Product_Master!A:A,Product_Master!E:E,"Unknown Item")</f>
        <v>450</v>
      </c>
      <c r="M14" t="str">
        <f>_xlfn.XLOOKUP(C14,Customer_database!A:A,Customer_database!E:E,"Unknown Customer")</f>
        <v>Stanley Hudson</v>
      </c>
      <c r="N14" t="str">
        <f>_xlfn.XLOOKUP(C14,Customer_database!A:A,Customer_database!D:D,"Unknown")</f>
        <v>Silver</v>
      </c>
      <c r="O14" s="2">
        <f>E14*L14</f>
        <v>900</v>
      </c>
      <c r="P14" s="3">
        <f>(L14-K14)*E14</f>
        <v>580</v>
      </c>
      <c r="Q14" s="4">
        <f>F14-B14</f>
        <v>2</v>
      </c>
      <c r="R14" t="str">
        <f t="shared" si="0"/>
        <v>On Time</v>
      </c>
      <c r="S14" t="b">
        <f>OR(H14="WELCOME10",H14="FREESHIP")</f>
        <v>1</v>
      </c>
    </row>
    <row r="15" spans="1:19" x14ac:dyDescent="0.3">
      <c r="A15" t="s">
        <v>46</v>
      </c>
      <c r="B15" s="1">
        <v>45319</v>
      </c>
      <c r="C15" t="s">
        <v>23</v>
      </c>
      <c r="D15" t="s">
        <v>33</v>
      </c>
      <c r="E15">
        <v>1</v>
      </c>
      <c r="F15" s="1">
        <v>45324</v>
      </c>
      <c r="G15" t="s">
        <v>11</v>
      </c>
      <c r="I15" t="str">
        <f>_xlfn.XLOOKUP(D15,Product_Master!A:A,Product_Master!B:B,"Unknown Item")</f>
        <v>Smart LED Lamp</v>
      </c>
      <c r="J15" t="str">
        <f>_xlfn.XLOOKUP(D15,Product_Master!A:A,Product_Master!C:C,"Unknown Item")</f>
        <v>Home Decor</v>
      </c>
      <c r="K15">
        <f>_xlfn.XLOOKUP(D15,Product_Master!A:A,Product_Master!D:D,"Unknown Item")</f>
        <v>15</v>
      </c>
      <c r="L15">
        <f>_xlfn.XLOOKUP(D15,Product_Master!A:A,Product_Master!E:E,"Unknown Item")</f>
        <v>45</v>
      </c>
      <c r="M15" t="str">
        <f>_xlfn.XLOOKUP(C15,Customer_database!A:A,Customer_database!E:E,"Unknown Customer")</f>
        <v>Dwight Schrute</v>
      </c>
      <c r="N15" t="str">
        <f>_xlfn.XLOOKUP(C15,Customer_database!A:A,Customer_database!D:D,"Unknown")</f>
        <v>Silver</v>
      </c>
      <c r="O15" s="2">
        <f>E15*L15</f>
        <v>45</v>
      </c>
      <c r="P15" s="3">
        <f>(L15-K15)*E15</f>
        <v>30</v>
      </c>
      <c r="Q15" s="4">
        <f>F15-B15</f>
        <v>5</v>
      </c>
      <c r="R15" t="str">
        <f t="shared" si="0"/>
        <v>On Time</v>
      </c>
      <c r="S15" t="b">
        <f>OR(H15="WELCOME10",H15="FREESHIP")</f>
        <v>0</v>
      </c>
    </row>
    <row r="16" spans="1:19" x14ac:dyDescent="0.3">
      <c r="A16" t="s">
        <v>47</v>
      </c>
      <c r="B16" s="1">
        <v>45321</v>
      </c>
      <c r="C16" t="s">
        <v>9</v>
      </c>
      <c r="D16" t="s">
        <v>19</v>
      </c>
      <c r="E16">
        <v>5</v>
      </c>
      <c r="F16" s="1">
        <v>45323</v>
      </c>
      <c r="G16" t="s">
        <v>11</v>
      </c>
      <c r="H16" t="s">
        <v>26</v>
      </c>
      <c r="I16" t="str">
        <f>_xlfn.XLOOKUP(D16,Product_Master!A:A,Product_Master!B:B,"Unknown Item")</f>
        <v>Mech Keyboard RGB</v>
      </c>
      <c r="J16" t="str">
        <f>_xlfn.XLOOKUP(D16,Product_Master!A:A,Product_Master!C:C,"Unknown Item")</f>
        <v>Electronics</v>
      </c>
      <c r="K16">
        <f>_xlfn.XLOOKUP(D16,Product_Master!A:A,Product_Master!D:D,"Unknown Item")</f>
        <v>45</v>
      </c>
      <c r="L16">
        <f>_xlfn.XLOOKUP(D16,Product_Master!A:A,Product_Master!E:E,"Unknown Item")</f>
        <v>129.99</v>
      </c>
      <c r="M16" t="str">
        <f>_xlfn.XLOOKUP(C16,Customer_database!A:A,Customer_database!E:E,"Unknown Customer")</f>
        <v>John Smith</v>
      </c>
      <c r="N16" t="str">
        <f>_xlfn.XLOOKUP(C16,Customer_database!A:A,Customer_database!D:D,"Unknown")</f>
        <v>Gold</v>
      </c>
      <c r="O16" s="2">
        <f>E16*L16</f>
        <v>649.95000000000005</v>
      </c>
      <c r="P16" s="3">
        <f>(L16-K16)*E16</f>
        <v>424.95000000000005</v>
      </c>
      <c r="Q16" s="4">
        <f>F16-B16</f>
        <v>2</v>
      </c>
      <c r="R16" t="str">
        <f t="shared" si="0"/>
        <v>On Time</v>
      </c>
      <c r="S16" t="b">
        <f>OR(H16="WELCOME10",H16="FREESHIP")</f>
        <v>1</v>
      </c>
    </row>
    <row r="17" spans="15:15" x14ac:dyDescent="0.3">
      <c r="O17"/>
    </row>
    <row r="18" spans="15:15" x14ac:dyDescent="0.3">
      <c r="O18"/>
    </row>
    <row r="19" spans="15:15" x14ac:dyDescent="0.3">
      <c r="O19"/>
    </row>
    <row r="20" spans="15:15" x14ac:dyDescent="0.3">
      <c r="O20"/>
    </row>
    <row r="21" spans="15:15" x14ac:dyDescent="0.3">
      <c r="O21"/>
    </row>
    <row r="22" spans="15:15" x14ac:dyDescent="0.3">
      <c r="O22"/>
    </row>
    <row r="23" spans="15:15" x14ac:dyDescent="0.3">
      <c r="O23"/>
    </row>
    <row r="24" spans="15:15" x14ac:dyDescent="0.3">
      <c r="O24"/>
    </row>
    <row r="25" spans="15:15" x14ac:dyDescent="0.3">
      <c r="O25"/>
    </row>
    <row r="26" spans="15:15" x14ac:dyDescent="0.3">
      <c r="O26"/>
    </row>
    <row r="27" spans="15:15" x14ac:dyDescent="0.3">
      <c r="O27"/>
    </row>
    <row r="28" spans="15:15" x14ac:dyDescent="0.3">
      <c r="O28"/>
    </row>
    <row r="29" spans="15:15" x14ac:dyDescent="0.3">
      <c r="O29"/>
    </row>
    <row r="30" spans="15:15" x14ac:dyDescent="0.3">
      <c r="O30"/>
    </row>
    <row r="31" spans="15:15" x14ac:dyDescent="0.3">
      <c r="O31"/>
    </row>
    <row r="32" spans="15:15" x14ac:dyDescent="0.3">
      <c r="O32"/>
    </row>
    <row r="33" spans="15:15" x14ac:dyDescent="0.3">
      <c r="O33"/>
    </row>
    <row r="34" spans="15:15" x14ac:dyDescent="0.3">
      <c r="O34"/>
    </row>
    <row r="35" spans="15:15" x14ac:dyDescent="0.3">
      <c r="O35"/>
    </row>
    <row r="36" spans="15:15" x14ac:dyDescent="0.3">
      <c r="O36"/>
    </row>
    <row r="37" spans="15:15" x14ac:dyDescent="0.3">
      <c r="O37"/>
    </row>
    <row r="38" spans="15:15" x14ac:dyDescent="0.3">
      <c r="O38"/>
    </row>
    <row r="39" spans="15:15" x14ac:dyDescent="0.3">
      <c r="O39"/>
    </row>
    <row r="40" spans="15:15" x14ac:dyDescent="0.3">
      <c r="O40"/>
    </row>
    <row r="41" spans="15:15" x14ac:dyDescent="0.3">
      <c r="O41"/>
    </row>
    <row r="42" spans="15:15" x14ac:dyDescent="0.3">
      <c r="O42"/>
    </row>
    <row r="43" spans="15:15" x14ac:dyDescent="0.3">
      <c r="O43"/>
    </row>
    <row r="44" spans="15:15" x14ac:dyDescent="0.3">
      <c r="O44"/>
    </row>
    <row r="45" spans="15:15" x14ac:dyDescent="0.3">
      <c r="O45"/>
    </row>
    <row r="46" spans="15:15" x14ac:dyDescent="0.3">
      <c r="O46"/>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9281E-A2FF-4A4F-A6D3-CC6045757BE9}">
  <dimension ref="A1:F8"/>
  <sheetViews>
    <sheetView workbookViewId="0">
      <selection sqref="A1:F8"/>
    </sheetView>
  </sheetViews>
  <sheetFormatPr defaultRowHeight="14.4" x14ac:dyDescent="0.3"/>
  <cols>
    <col min="1" max="1" width="9.33203125" customWidth="1"/>
    <col min="2" max="2" width="17.33203125" bestFit="1" customWidth="1"/>
    <col min="3" max="3" width="11.109375" bestFit="1" customWidth="1"/>
    <col min="4" max="4" width="10.88671875" customWidth="1"/>
    <col min="5" max="5" width="11.44140625" customWidth="1"/>
    <col min="6" max="6" width="11.88671875" bestFit="1" customWidth="1"/>
  </cols>
  <sheetData>
    <row r="1" spans="1:6" x14ac:dyDescent="0.3">
      <c r="A1" t="s">
        <v>3</v>
      </c>
      <c r="B1" t="s">
        <v>48</v>
      </c>
      <c r="C1" t="s">
        <v>49</v>
      </c>
      <c r="D1" t="s">
        <v>50</v>
      </c>
      <c r="E1" t="s">
        <v>51</v>
      </c>
      <c r="F1" t="s">
        <v>52</v>
      </c>
    </row>
    <row r="2" spans="1:6" x14ac:dyDescent="0.3">
      <c r="A2" t="s">
        <v>10</v>
      </c>
      <c r="B2" t="s">
        <v>53</v>
      </c>
      <c r="C2" t="s">
        <v>54</v>
      </c>
      <c r="D2">
        <v>12.5</v>
      </c>
      <c r="E2">
        <v>39.99</v>
      </c>
      <c r="F2" t="s">
        <v>55</v>
      </c>
    </row>
    <row r="3" spans="1:6" x14ac:dyDescent="0.3">
      <c r="A3" t="s">
        <v>19</v>
      </c>
      <c r="B3" t="s">
        <v>56</v>
      </c>
      <c r="C3" t="s">
        <v>54</v>
      </c>
      <c r="D3">
        <v>45</v>
      </c>
      <c r="E3">
        <v>129.99</v>
      </c>
      <c r="F3" t="s">
        <v>57</v>
      </c>
    </row>
    <row r="4" spans="1:6" x14ac:dyDescent="0.3">
      <c r="A4" t="s">
        <v>15</v>
      </c>
      <c r="B4" t="s">
        <v>58</v>
      </c>
      <c r="C4" t="s">
        <v>59</v>
      </c>
      <c r="D4">
        <v>85</v>
      </c>
      <c r="E4">
        <v>249.99</v>
      </c>
      <c r="F4" t="s">
        <v>60</v>
      </c>
    </row>
    <row r="5" spans="1:6" x14ac:dyDescent="0.3">
      <c r="A5" t="s">
        <v>29</v>
      </c>
      <c r="B5" t="s">
        <v>61</v>
      </c>
      <c r="C5" t="s">
        <v>59</v>
      </c>
      <c r="D5">
        <v>160</v>
      </c>
      <c r="E5">
        <v>450</v>
      </c>
      <c r="F5" t="s">
        <v>62</v>
      </c>
    </row>
    <row r="6" spans="1:6" x14ac:dyDescent="0.3">
      <c r="A6" t="s">
        <v>33</v>
      </c>
      <c r="B6" t="s">
        <v>63</v>
      </c>
      <c r="C6" t="s">
        <v>64</v>
      </c>
      <c r="D6">
        <v>15</v>
      </c>
      <c r="E6">
        <v>45</v>
      </c>
      <c r="F6" t="s">
        <v>65</v>
      </c>
    </row>
    <row r="7" spans="1:6" x14ac:dyDescent="0.3">
      <c r="A7" t="s">
        <v>24</v>
      </c>
      <c r="B7" t="s">
        <v>66</v>
      </c>
      <c r="C7" t="s">
        <v>54</v>
      </c>
      <c r="D7">
        <v>25</v>
      </c>
      <c r="E7">
        <v>75</v>
      </c>
      <c r="F7" t="s">
        <v>55</v>
      </c>
    </row>
    <row r="8" spans="1:6" x14ac:dyDescent="0.3">
      <c r="A8" t="s">
        <v>67</v>
      </c>
      <c r="B8" t="s">
        <v>68</v>
      </c>
      <c r="C8" t="s">
        <v>69</v>
      </c>
      <c r="D8">
        <v>5</v>
      </c>
      <c r="E8">
        <v>25</v>
      </c>
      <c r="F8" t="s">
        <v>70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2363D-F2DF-48C3-B76C-E143EA4A5D75}">
  <dimension ref="A1:F12"/>
  <sheetViews>
    <sheetView workbookViewId="0">
      <selection activeCell="D26" sqref="D26"/>
    </sheetView>
  </sheetViews>
  <sheetFormatPr defaultRowHeight="14.4" x14ac:dyDescent="0.3"/>
  <cols>
    <col min="1" max="1" width="10.33203125" customWidth="1"/>
    <col min="2" max="2" width="19" bestFit="1" customWidth="1"/>
    <col min="3" max="3" width="22.21875" bestFit="1" customWidth="1"/>
    <col min="4" max="4" width="14.88671875" bestFit="1" customWidth="1"/>
    <col min="5" max="5" width="13.44140625" bestFit="1" customWidth="1"/>
    <col min="6" max="6" width="12.33203125" bestFit="1" customWidth="1"/>
  </cols>
  <sheetData>
    <row r="1" spans="1:6" x14ac:dyDescent="0.3">
      <c r="A1" t="s">
        <v>99</v>
      </c>
      <c r="B1" t="s">
        <v>100</v>
      </c>
      <c r="C1" t="s">
        <v>101</v>
      </c>
      <c r="D1" t="s">
        <v>102</v>
      </c>
      <c r="E1" t="s">
        <v>103</v>
      </c>
      <c r="F1" t="s">
        <v>104</v>
      </c>
    </row>
    <row r="2" spans="1:6" x14ac:dyDescent="0.3">
      <c r="A2" t="s">
        <v>2</v>
      </c>
      <c r="B2" t="s">
        <v>71</v>
      </c>
      <c r="C2" t="s">
        <v>72</v>
      </c>
      <c r="D2" t="s">
        <v>73</v>
      </c>
      <c r="E2" t="s">
        <v>97</v>
      </c>
      <c r="F2" t="s">
        <v>98</v>
      </c>
    </row>
    <row r="3" spans="1:6" x14ac:dyDescent="0.3">
      <c r="A3" t="s">
        <v>9</v>
      </c>
      <c r="B3" t="s">
        <v>74</v>
      </c>
      <c r="C3" t="s">
        <v>75</v>
      </c>
      <c r="D3" t="s">
        <v>76</v>
      </c>
      <c r="E3" t="str">
        <f>PROPER(TRIM(B3))</f>
        <v>John Smith</v>
      </c>
      <c r="F3" t="str">
        <f>RIGHT(C3,LEN(C3)-FIND("@",C3))</f>
        <v>gmail.com</v>
      </c>
    </row>
    <row r="4" spans="1:6" x14ac:dyDescent="0.3">
      <c r="A4" t="s">
        <v>18</v>
      </c>
      <c r="B4" t="s">
        <v>77</v>
      </c>
      <c r="C4" t="s">
        <v>78</v>
      </c>
      <c r="D4" t="s">
        <v>79</v>
      </c>
      <c r="E4" t="str">
        <f t="shared" ref="E4:E12" si="0">PROPER(TRIM(B4))</f>
        <v>Sarah Connor</v>
      </c>
      <c r="F4" t="str">
        <f t="shared" ref="F4:F12" si="1">RIGHT(C4,LEN(C4)-FIND("@",C4))</f>
        <v>skynet.org</v>
      </c>
    </row>
    <row r="5" spans="1:6" x14ac:dyDescent="0.3">
      <c r="A5" t="s">
        <v>14</v>
      </c>
      <c r="B5" t="s">
        <v>80</v>
      </c>
      <c r="C5" t="s">
        <v>81</v>
      </c>
      <c r="D5" t="s">
        <v>82</v>
      </c>
      <c r="E5" t="str">
        <f t="shared" si="0"/>
        <v>Emily Blunt</v>
      </c>
      <c r="F5" t="str">
        <f t="shared" si="1"/>
        <v>studio.net</v>
      </c>
    </row>
    <row r="6" spans="1:6" x14ac:dyDescent="0.3">
      <c r="A6" t="s">
        <v>28</v>
      </c>
      <c r="B6" t="s">
        <v>83</v>
      </c>
      <c r="C6" t="s">
        <v>84</v>
      </c>
      <c r="D6" t="s">
        <v>76</v>
      </c>
      <c r="E6" t="str">
        <f t="shared" si="0"/>
        <v>Michael Scott</v>
      </c>
      <c r="F6" t="str">
        <f t="shared" si="1"/>
        <v>paperco.com</v>
      </c>
    </row>
    <row r="7" spans="1:6" x14ac:dyDescent="0.3">
      <c r="A7" t="s">
        <v>23</v>
      </c>
      <c r="B7" t="s">
        <v>85</v>
      </c>
      <c r="C7" t="s">
        <v>86</v>
      </c>
      <c r="D7" t="s">
        <v>79</v>
      </c>
      <c r="E7" t="str">
        <f t="shared" si="0"/>
        <v>Dwight Schrute</v>
      </c>
      <c r="F7" t="str">
        <f t="shared" si="1"/>
        <v>farms.com</v>
      </c>
    </row>
    <row r="8" spans="1:6" x14ac:dyDescent="0.3">
      <c r="A8" t="s">
        <v>32</v>
      </c>
      <c r="B8" t="s">
        <v>87</v>
      </c>
      <c r="C8" t="s">
        <v>88</v>
      </c>
      <c r="D8" t="s">
        <v>82</v>
      </c>
      <c r="E8" t="str">
        <f t="shared" si="0"/>
        <v>Jim Halpert</v>
      </c>
      <c r="F8" t="str">
        <f t="shared" si="1"/>
        <v>paperco.com</v>
      </c>
    </row>
    <row r="9" spans="1:6" x14ac:dyDescent="0.3">
      <c r="A9" t="s">
        <v>43</v>
      </c>
      <c r="B9" t="s">
        <v>89</v>
      </c>
      <c r="C9" t="s">
        <v>90</v>
      </c>
      <c r="D9" t="s">
        <v>79</v>
      </c>
      <c r="E9" t="str">
        <f t="shared" si="0"/>
        <v>Pam Beesly</v>
      </c>
      <c r="F9" t="str">
        <f t="shared" si="1"/>
        <v>paperco.com</v>
      </c>
    </row>
    <row r="10" spans="1:6" x14ac:dyDescent="0.3">
      <c r="A10" t="s">
        <v>36</v>
      </c>
      <c r="B10" t="s">
        <v>91</v>
      </c>
      <c r="C10" t="s">
        <v>92</v>
      </c>
      <c r="D10" t="s">
        <v>82</v>
      </c>
      <c r="E10" t="str">
        <f t="shared" si="0"/>
        <v>Ryan Howard</v>
      </c>
      <c r="F10" t="str">
        <f t="shared" si="1"/>
        <v>agency.com</v>
      </c>
    </row>
    <row r="11" spans="1:6" x14ac:dyDescent="0.3">
      <c r="A11" t="s">
        <v>40</v>
      </c>
      <c r="B11" t="s">
        <v>93</v>
      </c>
      <c r="C11" t="s">
        <v>94</v>
      </c>
      <c r="D11" t="s">
        <v>76</v>
      </c>
      <c r="E11" t="str">
        <f t="shared" si="0"/>
        <v>Creed Bratton</v>
      </c>
      <c r="F11" t="str">
        <f t="shared" si="1"/>
        <v>unknown.com</v>
      </c>
    </row>
    <row r="12" spans="1:6" x14ac:dyDescent="0.3">
      <c r="A12" t="s">
        <v>45</v>
      </c>
      <c r="B12" t="s">
        <v>95</v>
      </c>
      <c r="C12" t="s">
        <v>96</v>
      </c>
      <c r="D12" t="s">
        <v>79</v>
      </c>
      <c r="E12" t="str">
        <f t="shared" si="0"/>
        <v>Stanley Hudson</v>
      </c>
      <c r="F12" t="str">
        <f t="shared" si="1"/>
        <v>paperco.com</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Raw_orders</vt:lpstr>
      <vt:lpstr>Product_Master</vt:lpstr>
      <vt:lpstr>Customer_database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Anudip1</dc:creator>
  <cp:lastModifiedBy>Priyanshu Ambavane</cp:lastModifiedBy>
  <dcterms:created xsi:type="dcterms:W3CDTF">2026-01-31T04:08:57Z</dcterms:created>
  <dcterms:modified xsi:type="dcterms:W3CDTF">2026-01-31T15:11:02Z</dcterms:modified>
</cp:coreProperties>
</file>